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crstefanou_office365_auth_gr/Documents/Documents/MEGA/MEGAsync/Research/PhD/Paper/20260708/"/>
    </mc:Choice>
  </mc:AlternateContent>
  <xr:revisionPtr revIDLastSave="30" documentId="8_{D404C1AD-476F-48D2-93D7-D2E687166D32}" xr6:coauthVersionLast="47" xr6:coauthVersionMax="47" xr10:uidLastSave="{75150184-FAD3-4359-A026-EC52F34C3929}"/>
  <bookViews>
    <workbookView xWindow="-120" yWindow="-120" windowWidth="29040" windowHeight="15720" xr2:uid="{146CFD9D-03B2-43E9-AF5B-B3E27BEB0501}"/>
  </bookViews>
  <sheets>
    <sheet name="Description" sheetId="892" r:id="rId1"/>
    <sheet name="Original GAB on ln(Mc)" sheetId="890" r:id="rId2"/>
    <sheet name="Reparameterized GAB on ln(Mc)" sheetId="89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'Original GAB on ln(Mc)'!$A$1:$AA$202</definedName>
    <definedName name="a">[1]Dilutions!$M$19</definedName>
    <definedName name="acetic_undis">[2]Lm_NL!#REF!</definedName>
    <definedName name="avgX">#REF!</definedName>
    <definedName name="avgY">#REF!</definedName>
    <definedName name="b">[1]Dilutions!$N$19</definedName>
    <definedName name="bw">#REF!</definedName>
    <definedName name="bwopt">#REF!</definedName>
    <definedName name="cbw">#REF!</definedName>
    <definedName name="Component">#REF!</definedName>
    <definedName name="cpH">#REF!</definedName>
    <definedName name="cT">#REF!</definedName>
    <definedName name="DrateEst">#REF!</definedName>
    <definedName name="Dx0Est">#REF!</definedName>
    <definedName name="File_4_all_info">#REF!</definedName>
    <definedName name="Food_and_beverages_new">#REF!</definedName>
    <definedName name="h">#REF!</definedName>
    <definedName name="hx0">#REF!</definedName>
    <definedName name="inoc">#REF!</definedName>
    <definedName name="inocEst">#REF!</definedName>
    <definedName name="inocSE">#REF!</definedName>
    <definedName name="lacticunds">[2]Lm_NL!#REF!</definedName>
    <definedName name="limcount" hidden="1">1</definedName>
    <definedName name="lnmu">#REF!</definedName>
    <definedName name="lnmuopt">#REF!</definedName>
    <definedName name="m">#REF!</definedName>
    <definedName name="meanHeight">#REF!</definedName>
    <definedName name="mu">#REF!</definedName>
    <definedName name="muModel">#REF!</definedName>
    <definedName name="n">#REF!</definedName>
    <definedName name="NaCl">#REF!</definedName>
    <definedName name="pH">#REF!</definedName>
    <definedName name="pH_">[3]PolModel1!$D$79:$D$138</definedName>
    <definedName name="pHopt">#REF!</definedName>
    <definedName name="rate">#REF!</definedName>
    <definedName name="rateEst">#REF!</definedName>
    <definedName name="rateSE">#REF!</definedName>
    <definedName name="Region">#REF!</definedName>
    <definedName name="rXY_2">#REF!</definedName>
    <definedName name="sdHeight">#REF!</definedName>
    <definedName name="sigma">#REF!</definedName>
    <definedName name="sigmaEst">#REF!</definedName>
    <definedName name="sorbicundis">[2]Lm_NL!#REF!</definedName>
    <definedName name="ssX">#REF!</definedName>
    <definedName name="T0">#REF!</definedName>
    <definedName name="temp">#REF!</definedName>
    <definedName name="temp_">[3]PolModel1!$C$79:$C$138</definedName>
    <definedName name="tOpt">#REF!</definedName>
    <definedName name="tScore">#REF!</definedName>
    <definedName name="x_1">#REF!</definedName>
    <definedName name="x_2">#REF!</definedName>
    <definedName name="x_3">#REF!</definedName>
    <definedName name="x_4">#REF!</definedName>
    <definedName name="x_5">#REF!</definedName>
    <definedName name="x_6">#REF!</definedName>
    <definedName name="x_7">#REF!</definedName>
    <definedName name="x0Est">#REF!</definedName>
    <definedName name="x0SE">#REF!</definedName>
    <definedName name="xxxxxxxxxxxx">#REF!</definedName>
    <definedName name="y_1">#REF!</definedName>
    <definedName name="y_2">#REF!</definedName>
    <definedName name="y_3">#REF!</definedName>
    <definedName name="y_4">#REF!</definedName>
    <definedName name="y_5">#REF!</definedName>
    <definedName name="y_6">#REF!</definedName>
    <definedName name="y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3" i="891" l="1"/>
  <c r="K203" i="891"/>
  <c r="J203" i="891"/>
  <c r="L202" i="891"/>
  <c r="K202" i="891"/>
  <c r="J202" i="891"/>
  <c r="L201" i="891"/>
  <c r="K201" i="891"/>
  <c r="J201" i="891"/>
  <c r="L200" i="891"/>
  <c r="K200" i="891"/>
  <c r="J200" i="891"/>
  <c r="L199" i="891"/>
  <c r="K199" i="891"/>
  <c r="J199" i="891"/>
  <c r="L198" i="891"/>
  <c r="K198" i="891"/>
  <c r="J198" i="891"/>
  <c r="L197" i="891"/>
  <c r="K197" i="891"/>
  <c r="J197" i="891"/>
  <c r="L196" i="891"/>
  <c r="K196" i="891"/>
  <c r="J196" i="891"/>
  <c r="L194" i="891"/>
  <c r="K194" i="891"/>
  <c r="J194" i="891"/>
  <c r="L193" i="891"/>
  <c r="K193" i="891"/>
  <c r="J193" i="891"/>
  <c r="L192" i="891"/>
  <c r="K192" i="891"/>
  <c r="J192" i="891"/>
  <c r="L191" i="891"/>
  <c r="K191" i="891"/>
  <c r="J191" i="891"/>
  <c r="L190" i="891"/>
  <c r="K190" i="891"/>
  <c r="J190" i="891"/>
  <c r="L189" i="891"/>
  <c r="K189" i="891"/>
  <c r="J189" i="891"/>
  <c r="L188" i="891"/>
  <c r="K188" i="891"/>
  <c r="J188" i="891"/>
  <c r="L187" i="891"/>
  <c r="K187" i="891"/>
  <c r="J187" i="891"/>
  <c r="L186" i="891"/>
  <c r="K186" i="891"/>
  <c r="J186" i="891"/>
  <c r="L185" i="891"/>
  <c r="K185" i="891"/>
  <c r="J185" i="891"/>
  <c r="L184" i="891"/>
  <c r="K184" i="891"/>
  <c r="J184" i="891"/>
  <c r="L183" i="891"/>
  <c r="K183" i="891"/>
  <c r="J183" i="891"/>
  <c r="L182" i="891"/>
  <c r="K182" i="891"/>
  <c r="J182" i="891"/>
  <c r="L181" i="891"/>
  <c r="K181" i="891"/>
  <c r="J181" i="891"/>
  <c r="L179" i="891"/>
  <c r="K179" i="891"/>
  <c r="J179" i="891"/>
  <c r="L178" i="891"/>
  <c r="K178" i="891"/>
  <c r="J178" i="891"/>
  <c r="L177" i="891"/>
  <c r="K177" i="891"/>
  <c r="J177" i="891"/>
  <c r="L176" i="891"/>
  <c r="K176" i="891"/>
  <c r="J176" i="891"/>
  <c r="L175" i="891"/>
  <c r="K175" i="891"/>
  <c r="J175" i="891"/>
  <c r="L174" i="891"/>
  <c r="K174" i="891"/>
  <c r="J174" i="891"/>
  <c r="L173" i="891"/>
  <c r="K173" i="891"/>
  <c r="J173" i="891"/>
  <c r="L172" i="891"/>
  <c r="K172" i="891"/>
  <c r="J172" i="891"/>
  <c r="L171" i="891"/>
  <c r="K171" i="891"/>
  <c r="J171" i="891"/>
  <c r="L170" i="891"/>
  <c r="K170" i="891"/>
  <c r="J170" i="891"/>
  <c r="L169" i="891"/>
  <c r="K169" i="891"/>
  <c r="J169" i="891"/>
  <c r="L168" i="891"/>
  <c r="K168" i="891"/>
  <c r="J168" i="891"/>
  <c r="L167" i="891"/>
  <c r="K167" i="891"/>
  <c r="J167" i="891"/>
  <c r="L166" i="891"/>
  <c r="K166" i="891"/>
  <c r="J166" i="891"/>
  <c r="L165" i="891"/>
  <c r="K165" i="891"/>
  <c r="J165" i="891"/>
  <c r="L164" i="891"/>
  <c r="K164" i="891"/>
  <c r="J164" i="891"/>
  <c r="L163" i="891"/>
  <c r="K163" i="891"/>
  <c r="J163" i="891"/>
  <c r="L162" i="891"/>
  <c r="K162" i="891"/>
  <c r="J162" i="891"/>
  <c r="L161" i="891"/>
  <c r="K161" i="891"/>
  <c r="J161" i="891"/>
  <c r="L160" i="891"/>
  <c r="K160" i="891"/>
  <c r="J160" i="891"/>
  <c r="L159" i="891"/>
  <c r="K159" i="891"/>
  <c r="J159" i="891"/>
  <c r="L158" i="891"/>
  <c r="K158" i="891"/>
  <c r="J158" i="891"/>
  <c r="L157" i="891"/>
  <c r="K157" i="891"/>
  <c r="J157" i="891"/>
  <c r="L156" i="891"/>
  <c r="K156" i="891"/>
  <c r="J156" i="891"/>
  <c r="L155" i="891"/>
  <c r="K155" i="891"/>
  <c r="J155" i="891"/>
  <c r="L154" i="891"/>
  <c r="K154" i="891"/>
  <c r="J154" i="891"/>
  <c r="L153" i="891"/>
  <c r="K153" i="891"/>
  <c r="J153" i="891"/>
  <c r="L152" i="891"/>
  <c r="K152" i="891"/>
  <c r="J152" i="891"/>
  <c r="L151" i="891"/>
  <c r="K151" i="891"/>
  <c r="J151" i="891"/>
  <c r="L150" i="891"/>
  <c r="K150" i="891"/>
  <c r="J150" i="891"/>
  <c r="L149" i="891"/>
  <c r="K149" i="891"/>
  <c r="J149" i="891"/>
  <c r="L148" i="891"/>
  <c r="K148" i="891"/>
  <c r="J148" i="891"/>
  <c r="L147" i="891"/>
  <c r="K147" i="891"/>
  <c r="J147" i="891"/>
  <c r="L146" i="891"/>
  <c r="K146" i="891"/>
  <c r="J146" i="891"/>
  <c r="L145" i="891"/>
  <c r="K145" i="891"/>
  <c r="J145" i="891"/>
  <c r="L144" i="891"/>
  <c r="K144" i="891"/>
  <c r="J144" i="891"/>
  <c r="L143" i="891"/>
  <c r="K143" i="891"/>
  <c r="J143" i="891"/>
  <c r="L142" i="891"/>
  <c r="K142" i="891"/>
  <c r="J142" i="891"/>
  <c r="L141" i="891"/>
  <c r="K141" i="891"/>
  <c r="J141" i="891"/>
  <c r="L140" i="891"/>
  <c r="K140" i="891"/>
  <c r="J140" i="891"/>
  <c r="L139" i="891"/>
  <c r="K139" i="891"/>
  <c r="J139" i="891"/>
  <c r="L138" i="891"/>
  <c r="K138" i="891"/>
  <c r="J138" i="891"/>
  <c r="L137" i="891"/>
  <c r="K137" i="891"/>
  <c r="J137" i="891"/>
  <c r="L136" i="891"/>
  <c r="K136" i="891"/>
  <c r="J136" i="891"/>
  <c r="L135" i="891"/>
  <c r="K135" i="891"/>
  <c r="J135" i="891"/>
  <c r="L134" i="891"/>
  <c r="K134" i="891"/>
  <c r="J134" i="891"/>
  <c r="L133" i="891"/>
  <c r="K133" i="891"/>
  <c r="J133" i="891"/>
  <c r="L132" i="891"/>
  <c r="K132" i="891"/>
  <c r="J132" i="891"/>
  <c r="L131" i="891"/>
  <c r="K131" i="891"/>
  <c r="J131" i="891"/>
  <c r="L130" i="891"/>
  <c r="K130" i="891"/>
  <c r="J130" i="891"/>
  <c r="L129" i="891"/>
  <c r="K129" i="891"/>
  <c r="J129" i="891"/>
  <c r="L128" i="891"/>
  <c r="K128" i="891"/>
  <c r="J128" i="891"/>
  <c r="L127" i="891"/>
  <c r="K127" i="891"/>
  <c r="J127" i="891"/>
  <c r="L126" i="891"/>
  <c r="K126" i="891"/>
  <c r="J126" i="891"/>
  <c r="L125" i="891"/>
  <c r="K125" i="891"/>
  <c r="J125" i="891"/>
  <c r="L124" i="891"/>
  <c r="K124" i="891"/>
  <c r="J124" i="891"/>
  <c r="L123" i="891"/>
  <c r="K123" i="891"/>
  <c r="J123" i="891"/>
  <c r="L122" i="891"/>
  <c r="K122" i="891"/>
  <c r="J122" i="891"/>
  <c r="L121" i="891"/>
  <c r="K121" i="891"/>
  <c r="J121" i="891"/>
  <c r="L120" i="891"/>
  <c r="K120" i="891"/>
  <c r="J120" i="891"/>
  <c r="L119" i="891"/>
  <c r="K119" i="891"/>
  <c r="J119" i="891"/>
  <c r="L118" i="891"/>
  <c r="K118" i="891"/>
  <c r="J118" i="891"/>
  <c r="L117" i="891"/>
  <c r="K117" i="891"/>
  <c r="J117" i="891"/>
  <c r="L116" i="891"/>
  <c r="K116" i="891"/>
  <c r="J116" i="891"/>
  <c r="L115" i="891"/>
  <c r="K115" i="891"/>
  <c r="J115" i="891"/>
  <c r="L114" i="891"/>
  <c r="K114" i="891"/>
  <c r="J114" i="891"/>
  <c r="L113" i="891"/>
  <c r="K113" i="891"/>
  <c r="J113" i="891"/>
  <c r="L112" i="891"/>
  <c r="K112" i="891"/>
  <c r="J112" i="891"/>
  <c r="L111" i="891"/>
  <c r="K111" i="891"/>
  <c r="J111" i="891"/>
  <c r="L110" i="891"/>
  <c r="K110" i="891"/>
  <c r="J110" i="891"/>
  <c r="L109" i="891"/>
  <c r="K109" i="891"/>
  <c r="J109" i="891"/>
  <c r="L108" i="891"/>
  <c r="K108" i="891"/>
  <c r="J108" i="891"/>
  <c r="L107" i="891"/>
  <c r="K107" i="891"/>
  <c r="J107" i="891"/>
  <c r="L106" i="891"/>
  <c r="K106" i="891"/>
  <c r="J106" i="891"/>
  <c r="L105" i="891"/>
  <c r="K105" i="891"/>
  <c r="J105" i="891"/>
  <c r="L104" i="891"/>
  <c r="K104" i="891"/>
  <c r="J104" i="891"/>
  <c r="L103" i="891"/>
  <c r="K103" i="891"/>
  <c r="J103" i="891"/>
  <c r="L102" i="891"/>
  <c r="K102" i="891"/>
  <c r="J102" i="891"/>
  <c r="L101" i="891"/>
  <c r="K101" i="891"/>
  <c r="J101" i="891"/>
  <c r="L100" i="891"/>
  <c r="K100" i="891"/>
  <c r="J100" i="891"/>
  <c r="L99" i="891"/>
  <c r="K99" i="891"/>
  <c r="J99" i="891"/>
  <c r="L98" i="891"/>
  <c r="K98" i="891"/>
  <c r="J98" i="891"/>
  <c r="L97" i="891"/>
  <c r="K97" i="891"/>
  <c r="J97" i="891"/>
  <c r="L96" i="891"/>
  <c r="K96" i="891"/>
  <c r="J96" i="891"/>
  <c r="L95" i="891"/>
  <c r="K95" i="891"/>
  <c r="J95" i="891"/>
  <c r="L94" i="891"/>
  <c r="K94" i="891"/>
  <c r="J94" i="891"/>
  <c r="L93" i="891"/>
  <c r="K93" i="891"/>
  <c r="J93" i="891"/>
  <c r="L92" i="891"/>
  <c r="K92" i="891"/>
  <c r="J92" i="891"/>
  <c r="L91" i="891"/>
  <c r="K91" i="891"/>
  <c r="J91" i="891"/>
  <c r="L90" i="891"/>
  <c r="K90" i="891"/>
  <c r="J90" i="891"/>
  <c r="L89" i="891"/>
  <c r="K89" i="891"/>
  <c r="J89" i="891"/>
  <c r="L88" i="891"/>
  <c r="K88" i="891"/>
  <c r="J88" i="891"/>
  <c r="L87" i="891"/>
  <c r="K87" i="891"/>
  <c r="J87" i="891"/>
  <c r="L86" i="891"/>
  <c r="K86" i="891"/>
  <c r="J86" i="891"/>
  <c r="L85" i="891"/>
  <c r="K85" i="891"/>
  <c r="J85" i="891"/>
  <c r="L84" i="891"/>
  <c r="K84" i="891"/>
  <c r="J84" i="891"/>
  <c r="L83" i="891"/>
  <c r="K83" i="891"/>
  <c r="J83" i="891"/>
  <c r="L82" i="891"/>
  <c r="K82" i="891"/>
  <c r="J82" i="891"/>
  <c r="L81" i="891"/>
  <c r="K81" i="891"/>
  <c r="J81" i="891"/>
  <c r="L80" i="891"/>
  <c r="K80" i="891"/>
  <c r="J80" i="891"/>
  <c r="L79" i="891"/>
  <c r="K79" i="891"/>
  <c r="J79" i="891"/>
  <c r="L78" i="891"/>
  <c r="K78" i="891"/>
  <c r="J78" i="891"/>
  <c r="L77" i="891"/>
  <c r="K77" i="891"/>
  <c r="J77" i="891"/>
  <c r="L76" i="891"/>
  <c r="K76" i="891"/>
  <c r="J76" i="891"/>
  <c r="L75" i="891"/>
  <c r="K75" i="891"/>
  <c r="J75" i="891"/>
  <c r="L74" i="891"/>
  <c r="K74" i="891"/>
  <c r="J74" i="891"/>
  <c r="L73" i="891"/>
  <c r="K73" i="891"/>
  <c r="J73" i="891"/>
  <c r="L72" i="891"/>
  <c r="K72" i="891"/>
  <c r="J72" i="891"/>
  <c r="L71" i="891"/>
  <c r="K71" i="891"/>
  <c r="J71" i="891"/>
  <c r="L70" i="891"/>
  <c r="K70" i="891"/>
  <c r="J70" i="891"/>
  <c r="L69" i="891"/>
  <c r="K69" i="891"/>
  <c r="J69" i="891"/>
  <c r="L68" i="891"/>
  <c r="K68" i="891"/>
  <c r="J68" i="891"/>
  <c r="L67" i="891"/>
  <c r="K67" i="891"/>
  <c r="J67" i="891"/>
  <c r="L66" i="891"/>
  <c r="K66" i="891"/>
  <c r="J66" i="891"/>
  <c r="L65" i="891"/>
  <c r="K65" i="891"/>
  <c r="J65" i="891"/>
  <c r="L64" i="891"/>
  <c r="K64" i="891"/>
  <c r="J64" i="891"/>
  <c r="L63" i="891"/>
  <c r="K63" i="891"/>
  <c r="J63" i="891"/>
  <c r="L62" i="891"/>
  <c r="K62" i="891"/>
  <c r="J62" i="891"/>
  <c r="L61" i="891"/>
  <c r="K61" i="891"/>
  <c r="J61" i="891"/>
  <c r="L60" i="891"/>
  <c r="K60" i="891"/>
  <c r="J60" i="891"/>
  <c r="L59" i="891"/>
  <c r="K59" i="891"/>
  <c r="J59" i="891"/>
  <c r="L58" i="891"/>
  <c r="K58" i="891"/>
  <c r="J58" i="891"/>
  <c r="L57" i="891"/>
  <c r="K57" i="891"/>
  <c r="J57" i="891"/>
  <c r="L56" i="891"/>
  <c r="K56" i="891"/>
  <c r="J56" i="891"/>
  <c r="L55" i="891"/>
  <c r="K55" i="891"/>
  <c r="J55" i="891"/>
  <c r="L54" i="891"/>
  <c r="K54" i="891"/>
  <c r="J54" i="891"/>
  <c r="L53" i="891"/>
  <c r="K53" i="891"/>
  <c r="J53" i="891"/>
  <c r="L52" i="891"/>
  <c r="K52" i="891"/>
  <c r="J52" i="891"/>
  <c r="L51" i="891"/>
  <c r="K51" i="891"/>
  <c r="J51" i="891"/>
  <c r="L50" i="891"/>
  <c r="K50" i="891"/>
  <c r="J50" i="891"/>
  <c r="L49" i="891"/>
  <c r="K49" i="891"/>
  <c r="J49" i="891"/>
  <c r="L48" i="891"/>
  <c r="K48" i="891"/>
  <c r="J48" i="891"/>
  <c r="L47" i="891"/>
  <c r="K47" i="891"/>
  <c r="J47" i="891"/>
  <c r="L46" i="891"/>
  <c r="K46" i="891"/>
  <c r="J46" i="891"/>
  <c r="L45" i="891"/>
  <c r="K45" i="891"/>
  <c r="J45" i="891"/>
  <c r="L44" i="891"/>
  <c r="K44" i="891"/>
  <c r="J44" i="891"/>
  <c r="L43" i="891"/>
  <c r="K43" i="891"/>
  <c r="J43" i="891"/>
  <c r="L42" i="891"/>
  <c r="K42" i="891"/>
  <c r="J42" i="891"/>
  <c r="L41" i="891"/>
  <c r="K41" i="891"/>
  <c r="J41" i="891"/>
  <c r="L40" i="891"/>
  <c r="K40" i="891"/>
  <c r="J40" i="891"/>
  <c r="L39" i="891"/>
  <c r="K39" i="891"/>
  <c r="J39" i="891"/>
  <c r="L38" i="891"/>
  <c r="K38" i="891"/>
  <c r="J38" i="891"/>
  <c r="L37" i="891"/>
  <c r="K37" i="891"/>
  <c r="J37" i="891"/>
  <c r="L36" i="891"/>
  <c r="K36" i="891"/>
  <c r="J36" i="891"/>
  <c r="L35" i="891"/>
  <c r="K35" i="891"/>
  <c r="J35" i="891"/>
  <c r="L34" i="891"/>
  <c r="K34" i="891"/>
  <c r="J34" i="891"/>
  <c r="L33" i="891"/>
  <c r="K33" i="891"/>
  <c r="J33" i="891"/>
  <c r="L32" i="891"/>
  <c r="K32" i="891"/>
  <c r="J32" i="891"/>
  <c r="L31" i="891"/>
  <c r="K31" i="891"/>
  <c r="J31" i="891"/>
  <c r="L30" i="891"/>
  <c r="K30" i="891"/>
  <c r="J30" i="891"/>
  <c r="L29" i="891"/>
  <c r="K29" i="891"/>
  <c r="J29" i="891"/>
  <c r="L28" i="891"/>
  <c r="K28" i="891"/>
  <c r="J28" i="891"/>
  <c r="L27" i="891"/>
  <c r="K27" i="891"/>
  <c r="J27" i="891"/>
  <c r="L26" i="891"/>
  <c r="K26" i="891"/>
  <c r="J26" i="891"/>
  <c r="L25" i="891"/>
  <c r="K25" i="891"/>
  <c r="J25" i="891"/>
  <c r="L24" i="891"/>
  <c r="K24" i="891"/>
  <c r="J24" i="891"/>
  <c r="L23" i="891"/>
  <c r="K23" i="891"/>
  <c r="J23" i="891"/>
  <c r="L22" i="891"/>
  <c r="K22" i="891"/>
  <c r="J22" i="891"/>
  <c r="L21" i="891"/>
  <c r="K21" i="891"/>
  <c r="J21" i="891"/>
  <c r="L20" i="891"/>
  <c r="K20" i="891"/>
  <c r="J20" i="891"/>
  <c r="L19" i="891"/>
  <c r="K19" i="891"/>
  <c r="J19" i="891"/>
  <c r="L18" i="891"/>
  <c r="K18" i="891"/>
  <c r="J18" i="891"/>
  <c r="L17" i="891"/>
  <c r="K17" i="891"/>
  <c r="J17" i="891"/>
  <c r="L16" i="891"/>
  <c r="K16" i="891"/>
  <c r="J16" i="891"/>
  <c r="L15" i="891"/>
  <c r="K15" i="891"/>
  <c r="J15" i="891"/>
  <c r="L14" i="891"/>
  <c r="K14" i="891"/>
  <c r="J14" i="891"/>
  <c r="L13" i="891"/>
  <c r="K13" i="891"/>
  <c r="J13" i="891"/>
  <c r="L12" i="891"/>
  <c r="K12" i="891"/>
  <c r="J12" i="891"/>
  <c r="L11" i="891"/>
  <c r="K11" i="891"/>
  <c r="J11" i="891"/>
  <c r="L10" i="891"/>
  <c r="K10" i="891"/>
  <c r="J10" i="891"/>
  <c r="L9" i="891"/>
  <c r="K9" i="891"/>
  <c r="J9" i="891"/>
  <c r="L8" i="891"/>
  <c r="K8" i="891"/>
  <c r="J8" i="891"/>
  <c r="L7" i="891"/>
  <c r="K7" i="891"/>
  <c r="J7" i="891"/>
  <c r="L6" i="891"/>
  <c r="K6" i="891"/>
  <c r="J6" i="891"/>
  <c r="L5" i="891"/>
  <c r="K5" i="891"/>
  <c r="J5" i="891"/>
  <c r="L4" i="891"/>
  <c r="K4" i="891"/>
  <c r="J4" i="891"/>
  <c r="L3" i="891"/>
  <c r="K3" i="891"/>
  <c r="J3" i="891"/>
  <c r="L2" i="891"/>
  <c r="K2" i="891"/>
  <c r="J2" i="891"/>
</calcChain>
</file>

<file path=xl/sharedStrings.xml><?xml version="1.0" encoding="utf-8"?>
<sst xmlns="http://schemas.openxmlformats.org/spreadsheetml/2006/main" count="2117" uniqueCount="279">
  <si>
    <t>food</t>
  </si>
  <si>
    <t>spec</t>
  </si>
  <si>
    <t>region</t>
  </si>
  <si>
    <t>temp</t>
  </si>
  <si>
    <t>mango</t>
  </si>
  <si>
    <t>skin</t>
  </si>
  <si>
    <t>Brazil</t>
  </si>
  <si>
    <t>milkPowder</t>
  </si>
  <si>
    <t>whole</t>
  </si>
  <si>
    <t>Czechia</t>
  </si>
  <si>
    <t>cashew</t>
  </si>
  <si>
    <t>pulp</t>
  </si>
  <si>
    <t>tomato</t>
  </si>
  <si>
    <t>pulp; sprayDried</t>
  </si>
  <si>
    <t>Greece</t>
  </si>
  <si>
    <t>beetroot</t>
  </si>
  <si>
    <t>airDried</t>
  </si>
  <si>
    <t>orange</t>
  </si>
  <si>
    <t>bagasse</t>
  </si>
  <si>
    <t>pear</t>
  </si>
  <si>
    <t>dehydrated</t>
  </si>
  <si>
    <t>banana</t>
  </si>
  <si>
    <t>mature</t>
  </si>
  <si>
    <t>semiGreen</t>
  </si>
  <si>
    <t>passionfruit</t>
  </si>
  <si>
    <t>peel</t>
  </si>
  <si>
    <t>potato</t>
  </si>
  <si>
    <t>Northern_Ireland</t>
  </si>
  <si>
    <t>rice</t>
  </si>
  <si>
    <t>Spain</t>
  </si>
  <si>
    <t>mushroom</t>
  </si>
  <si>
    <t>agaricus</t>
  </si>
  <si>
    <t>India</t>
  </si>
  <si>
    <t>pleurotus</t>
  </si>
  <si>
    <t>flour</t>
  </si>
  <si>
    <t>wheat</t>
  </si>
  <si>
    <t>millet</t>
  </si>
  <si>
    <t>grain</t>
  </si>
  <si>
    <t>milet</t>
  </si>
  <si>
    <t>kernel</t>
  </si>
  <si>
    <t>oat</t>
  </si>
  <si>
    <t>flakes</t>
  </si>
  <si>
    <t>amaranth</t>
  </si>
  <si>
    <t>Argentina</t>
  </si>
  <si>
    <t>rough</t>
  </si>
  <si>
    <t>corn</t>
  </si>
  <si>
    <t>Nigeria</t>
  </si>
  <si>
    <t>sorgum</t>
  </si>
  <si>
    <t>quinoa</t>
  </si>
  <si>
    <t>brewerSpentGrain</t>
  </si>
  <si>
    <t>barley_malt</t>
  </si>
  <si>
    <t>wheat_malt</t>
  </si>
  <si>
    <t>sorption</t>
  </si>
  <si>
    <t>ADS</t>
  </si>
  <si>
    <t>DES</t>
  </si>
  <si>
    <t>modelCode</t>
  </si>
  <si>
    <t>p_1</t>
  </si>
  <si>
    <t>p_2</t>
  </si>
  <si>
    <t>p_3</t>
  </si>
  <si>
    <t>p_4</t>
  </si>
  <si>
    <t>errCode</t>
  </si>
  <si>
    <t>se_fit</t>
  </si>
  <si>
    <t>R2_stat</t>
  </si>
  <si>
    <t>p1_Ini</t>
  </si>
  <si>
    <t>p2_Ini</t>
  </si>
  <si>
    <t>p3_Ini</t>
  </si>
  <si>
    <t>p4_Ini</t>
  </si>
  <si>
    <t>gear</t>
  </si>
  <si>
    <t>nVal</t>
  </si>
  <si>
    <t>sep_1</t>
  </si>
  <si>
    <t>sep_2</t>
  </si>
  <si>
    <t>sep_3</t>
  </si>
  <si>
    <t>sep_4</t>
  </si>
  <si>
    <t>LnMc_aw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</si>
  <si>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</si>
  <si>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</si>
  <si>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</si>
  <si>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</si>
  <si>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</si>
  <si>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</si>
  <si>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</si>
  <si>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</si>
  <si>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</si>
  <si>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</si>
  <si>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</si>
  <si>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</si>
  <si>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</si>
  <si>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</si>
  <si>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</si>
  <si>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</si>
  <si>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</si>
  <si>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</si>
  <si>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</si>
  <si>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</si>
  <si>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</si>
  <si>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</si>
  <si>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</si>
  <si>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</si>
  <si>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</si>
  <si>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</si>
  <si>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</si>
  <si>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</si>
  <si>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</si>
  <si>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</si>
  <si>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</si>
  <si>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</si>
  <si>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</si>
  <si>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</si>
  <si>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</si>
  <si>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</si>
  <si>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</si>
  <si>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</si>
  <si>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</si>
  <si>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</si>
  <si>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</si>
  <si>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</si>
  <si>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</si>
  <si>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</si>
  <si>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</si>
  <si>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</si>
  <si>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</si>
  <si>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</si>
  <si>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</si>
  <si>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</si>
  <si>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</si>
  <si>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</si>
  <si>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</si>
  <si>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</si>
  <si>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</si>
  <si>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</si>
  <si>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</si>
  <si>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</si>
  <si>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</si>
  <si>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</si>
  <si>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</si>
  <si>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</si>
  <si>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</si>
  <si>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</si>
  <si>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</si>
  <si>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</si>
  <si>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</si>
  <si>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</si>
  <si>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</si>
  <si>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</si>
  <si>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</si>
  <si>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</si>
  <si>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</si>
  <si>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</si>
  <si>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</si>
  <si>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</si>
  <si>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</si>
  <si>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</si>
  <si>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</si>
  <si>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</si>
  <si>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</si>
  <si>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</si>
  <si>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</si>
  <si>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</si>
  <si>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</si>
  <si>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</si>
  <si>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</si>
  <si>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</si>
  <si>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</si>
  <si>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</si>
  <si>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</si>
  <si>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</si>
  <si>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</si>
  <si>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</si>
  <si>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</si>
  <si>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</si>
  <si>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</si>
  <si>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</si>
  <si>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</si>
  <si>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</si>
  <si>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</si>
  <si>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</si>
  <si>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</si>
  <si>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</si>
  <si>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</si>
  <si>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</si>
  <si>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</si>
  <si>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</si>
  <si>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</si>
  <si>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</si>
  <si>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</si>
  <si>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</si>
  <si>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</si>
  <si>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</si>
  <si>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</si>
  <si>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</si>
  <si>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</si>
  <si>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</si>
  <si>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</si>
  <si>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</si>
  <si>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</si>
  <si>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</si>
  <si>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</si>
  <si>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</si>
  <si>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</si>
  <si>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</si>
  <si>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</si>
  <si>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</si>
  <si>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</si>
  <si>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</si>
  <si>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</si>
  <si>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</si>
  <si>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</si>
  <si>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</si>
  <si>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</si>
  <si>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</si>
  <si>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</si>
  <si>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</si>
  <si>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</si>
  <si>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</si>
  <si>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</si>
  <si>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</si>
  <si>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</si>
  <si>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</si>
  <si>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</si>
  <si>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</si>
  <si>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</si>
  <si>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</si>
  <si>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</si>
  <si>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</si>
  <si>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</si>
  <si>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</si>
  <si>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</si>
  <si>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</si>
  <si>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</si>
  <si>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</si>
  <si>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</si>
  <si>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</si>
  <si>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</si>
  <si>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</si>
  <si>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</si>
  <si>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</si>
  <si>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</si>
  <si>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</si>
  <si>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</si>
  <si>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</si>
  <si>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</si>
  <si>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</si>
  <si>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</si>
  <si>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</si>
  <si>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</si>
  <si>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</si>
  <si>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</si>
  <si>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</si>
  <si>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</si>
  <si>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</si>
  <si>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</si>
  <si>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</si>
  <si>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</si>
  <si>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</si>
  <si>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</si>
  <si>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</si>
  <si>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</si>
  <si>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</si>
  <si>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</si>
  <si>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</si>
  <si>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</si>
  <si>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</si>
  <si>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</si>
  <si>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</si>
  <si>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</si>
  <si>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</si>
  <si>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</si>
  <si>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</si>
  <si>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</si>
  <si>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</si>
  <si>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</si>
  <si>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</si>
  <si>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</si>
  <si>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</si>
  <si>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yRef</t>
  </si>
  <si>
    <t>xIntval</t>
  </si>
  <si>
    <t>GAB2</t>
  </si>
  <si>
    <t>GAB3</t>
  </si>
  <si>
    <r>
      <rPr>
        <b/>
        <sz val="11"/>
        <color theme="1"/>
        <rFont val="Aptos Narrow"/>
        <family val="2"/>
        <scheme val="minor"/>
      </rPr>
      <t>Fit4.xlam is an Excel VBA add-in developed for fitting regression models containing up to four parameters. It performs nonlinear least-squares estimation and reports the fitted parameter estimates, their standard errors, diagnostic codes and goodness-of-fit statistics. In this study, Fit4 was used to fit the logarithmically rescaled GAB equation to the 192 literature sorption isotherms using both the original and reparameterised formulations.</t>
    </r>
    <r>
      <rPr>
        <sz val="11"/>
        <color theme="1"/>
        <rFont val="Aptos Narrow"/>
        <family val="2"/>
        <scheme val="minor"/>
      </rPr>
      <t xml:space="preserve">
Each row represents one literature sorption curve. The columns are defined as follows:
</t>
    </r>
    <r>
      <rPr>
        <b/>
        <sz val="11"/>
        <color theme="1"/>
        <rFont val="Aptos Narrow"/>
        <family val="2"/>
        <scheme val="minor"/>
      </rPr>
      <t>LnMc_aw</t>
    </r>
    <r>
      <rPr>
        <sz val="11"/>
        <color theme="1"/>
        <rFont val="Aptos Narrow"/>
        <family val="2"/>
        <scheme val="minor"/>
      </rPr>
      <t xml:space="preserve">: curve identifier linking the results row to the corresponding water activity, (a_w), and (\ln(M_c)) observations.
</t>
    </r>
    <r>
      <rPr>
        <b/>
        <sz val="11"/>
        <color theme="1"/>
        <rFont val="Aptos Narrow"/>
        <family val="2"/>
        <scheme val="minor"/>
      </rPr>
      <t>food</t>
    </r>
    <r>
      <rPr>
        <sz val="11"/>
        <color theme="1"/>
        <rFont val="Aptos Narrow"/>
        <family val="2"/>
        <scheme val="minor"/>
      </rPr>
      <t xml:space="preserve">: general food category.
</t>
    </r>
    <r>
      <rPr>
        <b/>
        <sz val="11"/>
        <color theme="1"/>
        <rFont val="Aptos Narrow"/>
        <family val="2"/>
        <scheme val="minor"/>
      </rPr>
      <t>spec</t>
    </r>
    <r>
      <rPr>
        <sz val="11"/>
        <color theme="1"/>
        <rFont val="Aptos Narrow"/>
        <family val="2"/>
        <scheme val="minor"/>
      </rPr>
      <t xml:space="preserve">: specific food product or material.
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: geographical origin reported for the study or sample.
</t>
    </r>
    <r>
      <rPr>
        <b/>
        <sz val="11"/>
        <color theme="1"/>
        <rFont val="Aptos Narrow"/>
        <family val="2"/>
        <scheme val="minor"/>
      </rPr>
      <t>sorption</t>
    </r>
    <r>
      <rPr>
        <sz val="11"/>
        <color theme="1"/>
        <rFont val="Aptos Narrow"/>
        <family val="2"/>
        <scheme val="minor"/>
      </rPr>
      <t xml:space="preserve">: sorption direction, classified as adsorption or desorption.
</t>
    </r>
    <r>
      <rPr>
        <b/>
        <sz val="11"/>
        <color theme="1"/>
        <rFont val="Aptos Narrow"/>
        <family val="2"/>
        <scheme val="minor"/>
      </rPr>
      <t>temp</t>
    </r>
    <r>
      <rPr>
        <sz val="11"/>
        <color theme="1"/>
        <rFont val="Aptos Narrow"/>
        <family val="2"/>
        <scheme val="minor"/>
      </rPr>
      <t xml:space="preserve">: experimental temperature in °C.
</t>
    </r>
    <r>
      <rPr>
        <b/>
        <sz val="11"/>
        <color theme="1"/>
        <rFont val="Aptos Narrow"/>
        <family val="2"/>
        <scheme val="minor"/>
      </rPr>
      <t>modelCode</t>
    </r>
    <r>
      <rPr>
        <sz val="11"/>
        <color theme="1"/>
        <rFont val="Aptos Narrow"/>
        <family val="2"/>
        <scheme val="minor"/>
      </rPr>
      <t xml:space="preserve">: fitted GAB formulation. GAB2 denotes the logarithmically rescaled GAB equation in its original parameterisation, whereas GAB3 denotes its reparameterised form.
</t>
    </r>
    <r>
      <rPr>
        <b/>
        <sz val="11"/>
        <color theme="1"/>
        <rFont val="Aptos Narrow"/>
        <family val="2"/>
        <scheme val="minor"/>
      </rPr>
      <t>yRef</t>
    </r>
    <r>
      <rPr>
        <sz val="11"/>
        <color theme="1"/>
        <rFont val="Aptos Narrow"/>
        <family val="2"/>
        <scheme val="minor"/>
      </rPr>
      <t xml:space="preserve">: Fit4 reference value for the response variable, retained as an internal fitting-control field.
</t>
    </r>
    <r>
      <rPr>
        <b/>
        <sz val="11"/>
        <color theme="1"/>
        <rFont val="Aptos Narrow"/>
        <family val="2"/>
        <scheme val="minor"/>
      </rPr>
      <t>p1_Ini–p4_Ini</t>
    </r>
    <r>
      <rPr>
        <sz val="11"/>
        <color theme="1"/>
        <rFont val="Aptos Narrow"/>
        <family val="2"/>
        <scheme val="minor"/>
      </rPr>
      <t xml:space="preserve">: initial parameter values supplied to the nonlinear optimisation algorithm.
</t>
    </r>
    <r>
      <rPr>
        <b/>
        <sz val="11"/>
        <color theme="1"/>
        <rFont val="Aptos Narrow"/>
        <family val="2"/>
        <scheme val="minor"/>
      </rPr>
      <t>gear</t>
    </r>
    <r>
      <rPr>
        <sz val="11"/>
        <color theme="1"/>
        <rFont val="Aptos Narrow"/>
        <family val="2"/>
        <scheme val="minor"/>
      </rPr>
      <t xml:space="preserve">: Fit4 iteration-control setting. Higher values allow faster progression, whereas lower values use a slower, more conservative search.
</t>
    </r>
    <r>
      <rPr>
        <b/>
        <sz val="11"/>
        <color theme="1"/>
        <rFont val="Aptos Narrow"/>
        <family val="2"/>
        <scheme val="minor"/>
      </rPr>
      <t>errCode</t>
    </r>
    <r>
      <rPr>
        <sz val="11"/>
        <color theme="1"/>
        <rFont val="Aptos Narrow"/>
        <family val="2"/>
        <scheme val="minor"/>
      </rPr>
      <t xml:space="preserve">: study-specific diagnostic classification: 0, clean fit; 1, nonfailed fit flagged because (K) approached or exceeded 1 and the corresponding (K=1) BET limit did not provide a worse fit; and 2, other abnormal, warning-level or failed fits.
</t>
    </r>
    <r>
      <rPr>
        <b/>
        <sz val="11"/>
        <color theme="1"/>
        <rFont val="Aptos Narrow"/>
        <family val="2"/>
        <scheme val="minor"/>
      </rPr>
      <t>nVal</t>
    </r>
    <r>
      <rPr>
        <sz val="11"/>
        <color theme="1"/>
        <rFont val="Aptos Narrow"/>
        <family val="2"/>
        <scheme val="minor"/>
      </rPr>
      <t xml:space="preserve">: number of experimental observations included in the fitted curve.
</t>
    </r>
    <r>
      <rPr>
        <b/>
        <sz val="11"/>
        <color theme="1"/>
        <rFont val="Aptos Narrow"/>
        <family val="2"/>
        <scheme val="minor"/>
      </rPr>
      <t>xIntval</t>
    </r>
    <r>
      <rPr>
        <sz val="11"/>
        <color theme="1"/>
        <rFont val="Aptos Narrow"/>
        <family val="2"/>
        <scheme val="minor"/>
      </rPr>
      <t xml:space="preserve">: observed water-activity interval, calculated as (\max(a_w)-\min(a_w)).
</t>
    </r>
    <r>
      <rPr>
        <b/>
        <sz val="11"/>
        <color theme="1"/>
        <rFont val="Aptos Narrow"/>
        <family val="2"/>
        <scheme val="minor"/>
      </rPr>
      <t>p_1–p_4</t>
    </r>
    <r>
      <rPr>
        <sz val="11"/>
        <color theme="1"/>
        <rFont val="Aptos Narrow"/>
        <family val="2"/>
        <scheme val="minor"/>
      </rPr>
      <t xml:space="preserve">: fitted parameter estimates. For GAB2, (p_1=X_m), (p_2=C) and (p_3=K). For GAB3, (p_1=\theta_1=\ln(X_m)), (p_2=\theta_2=\ln(CK)) and (p_3=\theta_3=\operatorname{logit}(K)). The fourth parameter is not used for the three-parameter GAB equation.
</t>
    </r>
    <r>
      <rPr>
        <b/>
        <sz val="11"/>
        <color theme="1"/>
        <rFont val="Aptos Narrow"/>
        <family val="2"/>
        <scheme val="minor"/>
      </rPr>
      <t>sep_1–sep_4</t>
    </r>
    <r>
      <rPr>
        <sz val="11"/>
        <color theme="1"/>
        <rFont val="Aptos Narrow"/>
        <family val="2"/>
        <scheme val="minor"/>
      </rPr>
      <t xml:space="preserve">: estimated standard errors of the corresponding fitted parameters. For GAB3, these standard errors are reported in the transformed (\theta)-parameter space.
</t>
    </r>
    <r>
      <rPr>
        <b/>
        <sz val="11"/>
        <color theme="1"/>
        <rFont val="Aptos Narrow"/>
        <family val="2"/>
        <scheme val="minor"/>
      </rPr>
      <t>se_fit</t>
    </r>
    <r>
      <rPr>
        <sz val="11"/>
        <color theme="1"/>
        <rFont val="Aptos Narrow"/>
        <family val="2"/>
        <scheme val="minor"/>
      </rPr>
      <t xml:space="preserve">: standard error of the fit, representing the estimated standard deviation of the residuals on the (\ln(M_c)) scale.
</t>
    </r>
    <r>
      <rPr>
        <b/>
        <sz val="11"/>
        <color theme="1"/>
        <rFont val="Aptos Narrow"/>
        <family val="2"/>
        <scheme val="minor"/>
      </rPr>
      <t>R2_stat</t>
    </r>
    <r>
      <rPr>
        <sz val="11"/>
        <color theme="1"/>
        <rFont val="Aptos Narrow"/>
        <family val="2"/>
        <scheme val="minor"/>
      </rPr>
      <t>: coefficient-of-determination statistic describing the goodness of fit.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</si>
</sst>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Fill="1"/>
    <xf numFmtId="49" fontId="4" fillId="0" borderId="0" xfId="0" applyNumberFormat="1" applyFont="1" applyFill="1"/>
    <xf numFmtId="0" fontId="4" fillId="0" borderId="1" xfId="0" applyFont="1" applyFill="1" applyBorder="1"/>
    <xf numFmtId="0" fontId="3" fillId="0" borderId="0" xfId="0" applyFont="1" applyFill="1"/>
    <xf numFmtId="49" fontId="3" fillId="0" borderId="0" xfId="0" applyNumberFormat="1" applyFont="1" applyFill="1"/>
    <xf numFmtId="0" fontId="3" fillId="0" borderId="1" xfId="0" applyFont="1" applyFill="1" applyBorder="1"/>
    <xf numFmtId="0" fontId="3" fillId="0" borderId="2" xfId="0" applyFont="1" applyFill="1" applyBorder="1"/>
    <xf numFmtId="49" fontId="3" fillId="0" borderId="2" xfId="0" applyNumberFormat="1" applyFont="1" applyFill="1" applyBorder="1"/>
    <xf numFmtId="0" fontId="3" fillId="0" borderId="3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microsoft.com/office/2017/10/relationships/person" Target="persons/perso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zsef\Students\Maha\ExpDataMaha.xlsx" TargetMode="External"/><Relationship Id="rId1" Type="http://schemas.openxmlformats.org/officeDocument/2006/relationships/externalLinkPath" Target="file:///C:\Users\Jozsef\Students\Maha\ExpDataMah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\MICROBSE\INPU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\UB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istotleuniversity-my.sharepoint.com/personal/crstefanou_office365_auth_gr/Documents/Documents/MEGA/MEGAsync/Research/PhD/Paper/20260708/GAB3_lit.xlsx" TargetMode="External"/><Relationship Id="rId1" Type="http://schemas.openxmlformats.org/officeDocument/2006/relationships/externalLinkPath" Target="GAB3_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eld"/>
      <sheetName val="BHI_fits"/>
      <sheetName val="Alm_fits"/>
      <sheetName val="Rate vs Temp"/>
      <sheetName val="Index0"/>
      <sheetName val="29"/>
      <sheetName val="33"/>
      <sheetName val="35"/>
      <sheetName val="37"/>
      <sheetName val="39"/>
      <sheetName val="45"/>
      <sheetName val="49"/>
      <sheetName val="51"/>
      <sheetName val="53"/>
      <sheetName val="55"/>
      <sheetName val="Di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9">
          <cell r="M19">
            <v>1.0999999999999999E-2</v>
          </cell>
          <cell r="N19">
            <v>1.2987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_N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Model1"/>
    </sheetNames>
    <sheetDataSet>
      <sheetData sheetId="0">
        <row r="79">
          <cell r="C79">
            <v>30</v>
          </cell>
          <cell r="D79">
            <v>5.9</v>
          </cell>
        </row>
        <row r="80">
          <cell r="C80">
            <v>30</v>
          </cell>
          <cell r="D80">
            <v>6.89</v>
          </cell>
        </row>
        <row r="81">
          <cell r="C81">
            <v>15</v>
          </cell>
          <cell r="D81">
            <v>7.04</v>
          </cell>
        </row>
        <row r="82">
          <cell r="C82">
            <v>15</v>
          </cell>
          <cell r="D82">
            <v>7.4</v>
          </cell>
        </row>
        <row r="83">
          <cell r="C83">
            <v>15</v>
          </cell>
          <cell r="D83">
            <v>7.81</v>
          </cell>
        </row>
        <row r="84">
          <cell r="C84">
            <v>20</v>
          </cell>
          <cell r="D84">
            <v>5.32</v>
          </cell>
        </row>
        <row r="85">
          <cell r="C85">
            <v>20</v>
          </cell>
          <cell r="D85">
            <v>5.9</v>
          </cell>
        </row>
        <row r="86">
          <cell r="C86">
            <v>20</v>
          </cell>
          <cell r="D86">
            <v>6.89</v>
          </cell>
        </row>
        <row r="87">
          <cell r="C87">
            <v>25</v>
          </cell>
          <cell r="D87">
            <v>5.66</v>
          </cell>
        </row>
        <row r="88">
          <cell r="C88">
            <v>25</v>
          </cell>
          <cell r="D88">
            <v>6.2</v>
          </cell>
        </row>
        <row r="89">
          <cell r="C89">
            <v>25</v>
          </cell>
          <cell r="D89">
            <v>6.53</v>
          </cell>
        </row>
        <row r="90">
          <cell r="C90">
            <v>25</v>
          </cell>
          <cell r="D90">
            <v>6.6</v>
          </cell>
        </row>
        <row r="91">
          <cell r="C91">
            <v>25</v>
          </cell>
          <cell r="D91">
            <v>6.67</v>
          </cell>
        </row>
        <row r="92">
          <cell r="C92">
            <v>25</v>
          </cell>
          <cell r="D92">
            <v>6.8</v>
          </cell>
        </row>
        <row r="93">
          <cell r="C93">
            <v>30</v>
          </cell>
          <cell r="D93">
            <v>5.32</v>
          </cell>
        </row>
        <row r="94">
          <cell r="C94">
            <v>30</v>
          </cell>
          <cell r="D94">
            <v>6.8</v>
          </cell>
        </row>
        <row r="95">
          <cell r="C95">
            <v>35</v>
          </cell>
          <cell r="D95">
            <v>4.76</v>
          </cell>
        </row>
        <row r="96">
          <cell r="C96">
            <v>35</v>
          </cell>
          <cell r="D96">
            <v>6.22</v>
          </cell>
        </row>
        <row r="97">
          <cell r="C97">
            <v>35</v>
          </cell>
          <cell r="D97">
            <v>6.24</v>
          </cell>
        </row>
        <row r="98">
          <cell r="C98">
            <v>35</v>
          </cell>
          <cell r="D98">
            <v>6.45</v>
          </cell>
        </row>
        <row r="99">
          <cell r="C99">
            <v>35</v>
          </cell>
          <cell r="D99">
            <v>6.51</v>
          </cell>
        </row>
        <row r="100">
          <cell r="C100">
            <v>35</v>
          </cell>
          <cell r="D100">
            <v>7.52</v>
          </cell>
        </row>
        <row r="101">
          <cell r="C101">
            <v>35</v>
          </cell>
          <cell r="D101">
            <v>7.75</v>
          </cell>
        </row>
        <row r="102">
          <cell r="C102">
            <v>15</v>
          </cell>
          <cell r="D102">
            <v>5.38</v>
          </cell>
        </row>
        <row r="103">
          <cell r="C103">
            <v>20</v>
          </cell>
          <cell r="D103">
            <v>6.8</v>
          </cell>
        </row>
        <row r="104">
          <cell r="C104">
            <v>25</v>
          </cell>
          <cell r="D104">
            <v>6.35</v>
          </cell>
        </row>
        <row r="105">
          <cell r="C105">
            <v>35</v>
          </cell>
          <cell r="D105">
            <v>5.48</v>
          </cell>
        </row>
        <row r="106">
          <cell r="C106">
            <v>35</v>
          </cell>
          <cell r="D106">
            <v>6.26</v>
          </cell>
        </row>
        <row r="107">
          <cell r="C107">
            <v>35</v>
          </cell>
          <cell r="D107">
            <v>6.79</v>
          </cell>
        </row>
        <row r="108">
          <cell r="C108">
            <v>35</v>
          </cell>
          <cell r="D108">
            <v>6.95</v>
          </cell>
        </row>
        <row r="109">
          <cell r="C109">
            <v>15</v>
          </cell>
          <cell r="D109">
            <v>5.33</v>
          </cell>
        </row>
        <row r="110">
          <cell r="C110">
            <v>15</v>
          </cell>
          <cell r="D110">
            <v>6.33</v>
          </cell>
        </row>
        <row r="111">
          <cell r="C111">
            <v>15</v>
          </cell>
          <cell r="D111">
            <v>7.01</v>
          </cell>
        </row>
        <row r="112">
          <cell r="C112">
            <v>15</v>
          </cell>
          <cell r="D112">
            <v>7.09</v>
          </cell>
        </row>
        <row r="113">
          <cell r="C113">
            <v>15</v>
          </cell>
          <cell r="D113">
            <v>7.15</v>
          </cell>
        </row>
        <row r="114">
          <cell r="C114">
            <v>20</v>
          </cell>
          <cell r="D114">
            <v>5.63</v>
          </cell>
        </row>
        <row r="115">
          <cell r="C115">
            <v>20</v>
          </cell>
          <cell r="D115">
            <v>5.93</v>
          </cell>
        </row>
        <row r="116">
          <cell r="C116">
            <v>20</v>
          </cell>
          <cell r="D116">
            <v>6.54</v>
          </cell>
        </row>
        <row r="117">
          <cell r="C117">
            <v>25</v>
          </cell>
          <cell r="D117">
            <v>5.14</v>
          </cell>
        </row>
        <row r="118">
          <cell r="C118">
            <v>25</v>
          </cell>
          <cell r="D118">
            <v>5.22</v>
          </cell>
        </row>
        <row r="119">
          <cell r="C119">
            <v>25</v>
          </cell>
          <cell r="D119">
            <v>6.24</v>
          </cell>
        </row>
        <row r="120">
          <cell r="C120">
            <v>25</v>
          </cell>
          <cell r="D120">
            <v>6.24</v>
          </cell>
        </row>
        <row r="121">
          <cell r="C121">
            <v>25</v>
          </cell>
          <cell r="D121">
            <v>6.29</v>
          </cell>
        </row>
        <row r="122">
          <cell r="C122">
            <v>25</v>
          </cell>
          <cell r="D122">
            <v>6.29</v>
          </cell>
        </row>
        <row r="123">
          <cell r="C123">
            <v>25</v>
          </cell>
          <cell r="D123">
            <v>6.31</v>
          </cell>
        </row>
        <row r="124">
          <cell r="C124">
            <v>25</v>
          </cell>
          <cell r="D124">
            <v>6.31</v>
          </cell>
        </row>
        <row r="125">
          <cell r="C125">
            <v>25</v>
          </cell>
          <cell r="D125">
            <v>6.67</v>
          </cell>
        </row>
        <row r="126">
          <cell r="C126">
            <v>25</v>
          </cell>
          <cell r="D126">
            <v>6.85</v>
          </cell>
        </row>
        <row r="127">
          <cell r="C127">
            <v>30</v>
          </cell>
          <cell r="D127">
            <v>5.48</v>
          </cell>
        </row>
        <row r="128">
          <cell r="C128">
            <v>30</v>
          </cell>
          <cell r="D128">
            <v>5.63</v>
          </cell>
        </row>
        <row r="129">
          <cell r="C129">
            <v>30</v>
          </cell>
          <cell r="D129">
            <v>6.48</v>
          </cell>
        </row>
        <row r="130">
          <cell r="C130">
            <v>30</v>
          </cell>
          <cell r="D130">
            <v>6.54</v>
          </cell>
        </row>
        <row r="131">
          <cell r="C131">
            <v>30</v>
          </cell>
          <cell r="D131">
            <v>6.79</v>
          </cell>
        </row>
        <row r="132">
          <cell r="C132">
            <v>35</v>
          </cell>
          <cell r="D132">
            <v>4.59</v>
          </cell>
        </row>
        <row r="133">
          <cell r="C133">
            <v>35</v>
          </cell>
          <cell r="D133">
            <v>4.7</v>
          </cell>
        </row>
        <row r="134">
          <cell r="C134">
            <v>35</v>
          </cell>
          <cell r="D134">
            <v>4.96</v>
          </cell>
        </row>
        <row r="135">
          <cell r="C135">
            <v>35</v>
          </cell>
          <cell r="D135">
            <v>6.89</v>
          </cell>
        </row>
        <row r="136">
          <cell r="C136">
            <v>35</v>
          </cell>
          <cell r="D136">
            <v>6.91</v>
          </cell>
        </row>
        <row r="137">
          <cell r="C137">
            <v>35</v>
          </cell>
          <cell r="D137">
            <v>6.97</v>
          </cell>
        </row>
        <row r="138">
          <cell r="C138">
            <v>35</v>
          </cell>
          <cell r="D138">
            <v>7.29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043"/>
      <sheetName val="C049"/>
      <sheetName val="C050"/>
      <sheetName val="C051"/>
      <sheetName val="C052"/>
      <sheetName val="C053"/>
      <sheetName val="C054"/>
      <sheetName val="C069"/>
      <sheetName val="C080"/>
      <sheetName val="C082"/>
      <sheetName val="C087"/>
      <sheetName val="C121"/>
      <sheetName val="C126"/>
      <sheetName val="C152"/>
      <sheetName val="C004"/>
      <sheetName val="C007"/>
      <sheetName val="C001"/>
      <sheetName val="C006"/>
      <sheetName val="C026"/>
      <sheetName val="C027"/>
      <sheetName val="C044"/>
      <sheetName val="C060"/>
      <sheetName val="C070"/>
      <sheetName val="C071"/>
      <sheetName val="C072"/>
      <sheetName val="C068"/>
      <sheetName val="C025"/>
      <sheetName val="C057"/>
      <sheetName val="C090"/>
      <sheetName val="C096"/>
      <sheetName val="C059"/>
      <sheetName val="Index0"/>
      <sheetName val="Params"/>
      <sheetName val="LnMc_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R2">
            <v>-2.6104811299966451</v>
          </cell>
          <cell r="S2">
            <v>0.27704530292935209</v>
          </cell>
        </row>
        <row r="3">
          <cell r="R3">
            <v>-2.4125835935330064</v>
          </cell>
          <cell r="S3">
            <v>2.9309445946127943E-2</v>
          </cell>
        </row>
        <row r="4">
          <cell r="R4">
            <v>-2.9699124099064513</v>
          </cell>
          <cell r="S4">
            <v>9.5898968763068596E-2</v>
          </cell>
        </row>
        <row r="5">
          <cell r="R5">
            <v>-2.4938398193691986</v>
          </cell>
          <cell r="S5">
            <v>0.11512345282444068</v>
          </cell>
        </row>
        <row r="6">
          <cell r="R6">
            <v>-3.0812954095790523</v>
          </cell>
          <cell r="S6">
            <v>9.1573185781193805E-2</v>
          </cell>
        </row>
        <row r="7">
          <cell r="R7">
            <v>-2.559721564011753</v>
          </cell>
          <cell r="S7">
            <v>0.45665228884697034</v>
          </cell>
        </row>
        <row r="8">
          <cell r="R8">
            <v>-2.9222365046486698</v>
          </cell>
          <cell r="S8">
            <v>7.0605787207525583E-2</v>
          </cell>
        </row>
        <row r="9">
          <cell r="R9">
            <v>-2.9043831057002727</v>
          </cell>
          <cell r="S9">
            <v>0.30139697515759989</v>
          </cell>
        </row>
        <row r="10">
          <cell r="R10">
            <v>-3.0835194699744193</v>
          </cell>
          <cell r="S10">
            <v>0.23783661998187419</v>
          </cell>
        </row>
        <row r="11">
          <cell r="R11">
            <v>-3.0948814789607675</v>
          </cell>
          <cell r="S11">
            <v>0.20498098283582136</v>
          </cell>
        </row>
        <row r="12">
          <cell r="R12">
            <v>-2.3571568561236123</v>
          </cell>
          <cell r="S12">
            <v>0.50622193537915239</v>
          </cell>
        </row>
        <row r="13">
          <cell r="R13">
            <v>-2.6310740279091327</v>
          </cell>
          <cell r="S13">
            <v>0.2382164389890834</v>
          </cell>
        </row>
        <row r="14">
          <cell r="R14">
            <v>-2.9907762941184806</v>
          </cell>
          <cell r="S14">
            <v>9.4383046620274844E-2</v>
          </cell>
        </row>
        <row r="15">
          <cell r="R15">
            <v>-2.9761852182865125</v>
          </cell>
          <cell r="S15">
            <v>6.4487990909252155E-2</v>
          </cell>
        </row>
        <row r="16">
          <cell r="R16">
            <v>-3.1964905985200067</v>
          </cell>
          <cell r="S16">
            <v>7.9591593457535068E-2</v>
          </cell>
        </row>
        <row r="17">
          <cell r="R17">
            <v>-3.2087979505511797</v>
          </cell>
          <cell r="S17">
            <v>9.9933381245600694E-2</v>
          </cell>
        </row>
        <row r="18">
          <cell r="R18">
            <v>-3.2823009169324608</v>
          </cell>
          <cell r="S18">
            <v>3.7377586534144851E-2</v>
          </cell>
        </row>
        <row r="19">
          <cell r="R19">
            <v>-3.2094927884588094</v>
          </cell>
          <cell r="S19">
            <v>0.26721416569074757</v>
          </cell>
        </row>
        <row r="20">
          <cell r="R20">
            <v>-3.3440353842425554</v>
          </cell>
          <cell r="S20">
            <v>2.0663038427359087E-2</v>
          </cell>
        </row>
        <row r="21">
          <cell r="R21">
            <v>-3.2086182372267902</v>
          </cell>
          <cell r="S21">
            <v>4.1575470368194783E-2</v>
          </cell>
        </row>
        <row r="22">
          <cell r="R22">
            <v>-3.5314079599035835</v>
          </cell>
          <cell r="S22">
            <v>5.8913635357149892E-2</v>
          </cell>
        </row>
        <row r="23">
          <cell r="R23">
            <v>-3.2602824645645789</v>
          </cell>
          <cell r="S23">
            <v>7.7617142355281762E-2</v>
          </cell>
        </row>
        <row r="24">
          <cell r="R24">
            <v>-1.8237835936921563</v>
          </cell>
          <cell r="S24">
            <v>0.40566187300756257</v>
          </cell>
        </row>
        <row r="25">
          <cell r="R25">
            <v>-1.7210574429389629</v>
          </cell>
          <cell r="S25">
            <v>1.6447995133138114</v>
          </cell>
        </row>
        <row r="26">
          <cell r="R26">
            <v>-1.7833140783560873E-7</v>
          </cell>
          <cell r="S26">
            <v>4.3969795318354852E-8</v>
          </cell>
        </row>
        <row r="27">
          <cell r="R27">
            <v>-9.7431376325370893E-8</v>
          </cell>
          <cell r="S27">
            <v>9.0693567030321062E-8</v>
          </cell>
        </row>
        <row r="28">
          <cell r="R28">
            <v>-1.5912685259150667</v>
          </cell>
          <cell r="S28">
            <v>4.7931546364506104E-2</v>
          </cell>
        </row>
        <row r="29">
          <cell r="R29">
            <v>-1.6396627215813657</v>
          </cell>
          <cell r="S29">
            <v>5.0833122316888898E-2</v>
          </cell>
        </row>
        <row r="30">
          <cell r="R30">
            <v>-1.5732042058101592</v>
          </cell>
          <cell r="S30">
            <v>3.6526422941587568E-2</v>
          </cell>
        </row>
        <row r="31">
          <cell r="R31">
            <v>-1.8195320760193265</v>
          </cell>
          <cell r="S31">
            <v>0.12309109471392696</v>
          </cell>
        </row>
        <row r="32">
          <cell r="R32">
            <v>-1.8319952413583795</v>
          </cell>
          <cell r="S32">
            <v>0.12017089415232143</v>
          </cell>
        </row>
        <row r="33">
          <cell r="R33">
            <v>-1.8415120403767431</v>
          </cell>
          <cell r="S33">
            <v>0.11712348438210929</v>
          </cell>
        </row>
        <row r="34">
          <cell r="R34">
            <v>-1.826257730155989</v>
          </cell>
          <cell r="S34">
            <v>0.13446767073567376</v>
          </cell>
        </row>
        <row r="35">
          <cell r="R35">
            <v>-1.803134045278165</v>
          </cell>
          <cell r="S35">
            <v>0.17664729144682129</v>
          </cell>
        </row>
        <row r="36">
          <cell r="R36">
            <v>-1.8367192949796241</v>
          </cell>
          <cell r="S36">
            <v>0.13803339218255786</v>
          </cell>
        </row>
        <row r="37">
          <cell r="R37">
            <v>-1.6084523909122146</v>
          </cell>
          <cell r="S37">
            <v>6.4239040497282893E-2</v>
          </cell>
        </row>
        <row r="38">
          <cell r="R38">
            <v>-1.5654804309299715</v>
          </cell>
          <cell r="S38">
            <v>0.24408972323552658</v>
          </cell>
        </row>
        <row r="39">
          <cell r="R39">
            <v>-1.4932069420599268</v>
          </cell>
          <cell r="S39">
            <v>0.11880584028421144</v>
          </cell>
        </row>
        <row r="40">
          <cell r="R40">
            <v>-2.2103484095046726</v>
          </cell>
          <cell r="S40">
            <v>0.25000863856278122</v>
          </cell>
        </row>
        <row r="41">
          <cell r="R41">
            <v>-2.1494723696001361</v>
          </cell>
          <cell r="S41">
            <v>0.1704946041064187</v>
          </cell>
        </row>
        <row r="42">
          <cell r="R42">
            <v>-2.2307484569461544</v>
          </cell>
          <cell r="S42">
            <v>0.31059961486976645</v>
          </cell>
        </row>
        <row r="43">
          <cell r="R43">
            <v>-1.1864162975780359</v>
          </cell>
          <cell r="S43">
            <v>0.74620540972070748</v>
          </cell>
        </row>
        <row r="44">
          <cell r="R44">
            <v>-1.9002253881169553</v>
          </cell>
          <cell r="S44">
            <v>0.16373506723506706</v>
          </cell>
        </row>
        <row r="45">
          <cell r="R45">
            <v>-1.7854950621658252</v>
          </cell>
          <cell r="S45">
            <v>0.15878683350417697</v>
          </cell>
        </row>
        <row r="46">
          <cell r="R46">
            <v>-2.1468006133267235</v>
          </cell>
          <cell r="S46">
            <v>0.26711633278296182</v>
          </cell>
        </row>
        <row r="47">
          <cell r="R47">
            <v>-2.0604513633621062</v>
          </cell>
          <cell r="S47">
            <v>0.38993501835447214</v>
          </cell>
        </row>
        <row r="48">
          <cell r="R48">
            <v>-2.2541105132844614</v>
          </cell>
          <cell r="S48">
            <v>0.36054467132178175</v>
          </cell>
        </row>
        <row r="49">
          <cell r="R49">
            <v>-2.7437751049335279</v>
          </cell>
          <cell r="S49">
            <v>0.48059474049428785</v>
          </cell>
        </row>
        <row r="50">
          <cell r="R50">
            <v>-2.5478584886758751</v>
          </cell>
          <cell r="S50">
            <v>2.1225044316164472</v>
          </cell>
        </row>
        <row r="51">
          <cell r="R51">
            <v>-2.2477773902567209</v>
          </cell>
          <cell r="S51">
            <v>0.26025366611360201</v>
          </cell>
        </row>
        <row r="52">
          <cell r="R52">
            <v>-3.0594852603718201</v>
          </cell>
          <cell r="S52">
            <v>2.2916398021371771</v>
          </cell>
        </row>
        <row r="53">
          <cell r="R53">
            <v>-2.3332594161321962</v>
          </cell>
          <cell r="S53">
            <v>0.89371761025910024</v>
          </cell>
        </row>
        <row r="54">
          <cell r="R54">
            <v>-2.3564775275521099</v>
          </cell>
          <cell r="S54">
            <v>0.66210618710329783</v>
          </cell>
        </row>
        <row r="55">
          <cell r="R55">
            <v>-2.1419075123335132</v>
          </cell>
          <cell r="S55">
            <v>0.17512632196701847</v>
          </cell>
        </row>
        <row r="56">
          <cell r="R56">
            <v>-1.969694168118316</v>
          </cell>
          <cell r="S56">
            <v>0.1882331827542825</v>
          </cell>
        </row>
        <row r="57">
          <cell r="R57">
            <v>-2.0550326096139506</v>
          </cell>
          <cell r="S57">
            <v>0.29368351554871724</v>
          </cell>
        </row>
        <row r="58">
          <cell r="R58">
            <v>-2.8698833347016524</v>
          </cell>
          <cell r="S58">
            <v>4.6109527162514999E-2</v>
          </cell>
        </row>
        <row r="59">
          <cell r="R59">
            <v>-3.0859478689687845</v>
          </cell>
          <cell r="S59">
            <v>4.4262196470164314E-2</v>
          </cell>
        </row>
        <row r="60">
          <cell r="R60">
            <v>-3.3275922603972976</v>
          </cell>
          <cell r="S60">
            <v>4.9963981656048539E-2</v>
          </cell>
        </row>
        <row r="61">
          <cell r="R61">
            <v>-2.573337788176036</v>
          </cell>
          <cell r="S61">
            <v>7.8441345896736125E-2</v>
          </cell>
        </row>
        <row r="62">
          <cell r="R62">
            <v>-2.9020976209355238</v>
          </cell>
          <cell r="S62">
            <v>5.2491044491216478E-2</v>
          </cell>
        </row>
        <row r="63">
          <cell r="R63">
            <v>-2.9518847641845567</v>
          </cell>
          <cell r="S63">
            <v>0.12935505312922452</v>
          </cell>
        </row>
        <row r="64">
          <cell r="R64">
            <v>-2.6639332625064989</v>
          </cell>
          <cell r="S64">
            <v>8.8757056294994308E-2</v>
          </cell>
        </row>
        <row r="65">
          <cell r="R65">
            <v>-2.5539747673496662</v>
          </cell>
          <cell r="S65">
            <v>0.14923128246784739</v>
          </cell>
        </row>
        <row r="66">
          <cell r="R66">
            <v>-2.6904174025648375</v>
          </cell>
          <cell r="S66">
            <v>0.13796250028139276</v>
          </cell>
        </row>
        <row r="67">
          <cell r="R67">
            <v>-2.7407405070590882</v>
          </cell>
          <cell r="S67">
            <v>8.380506490802607E-2</v>
          </cell>
        </row>
        <row r="68">
          <cell r="R68">
            <v>-2.5884915658695036</v>
          </cell>
          <cell r="S68">
            <v>0.18993789908106723</v>
          </cell>
        </row>
        <row r="69">
          <cell r="R69">
            <v>-1.7593817039147013</v>
          </cell>
          <cell r="S69">
            <v>9.5001705339635631E-2</v>
          </cell>
        </row>
        <row r="70">
          <cell r="R70">
            <v>-1.7251193891228251</v>
          </cell>
          <cell r="S70">
            <v>0.87071496060586673</v>
          </cell>
        </row>
        <row r="71">
          <cell r="R71">
            <v>-1.1773198265515892</v>
          </cell>
          <cell r="S71">
            <v>0.90212987334876515</v>
          </cell>
        </row>
        <row r="72">
          <cell r="R72">
            <v>-1.7844345370527852</v>
          </cell>
          <cell r="S72">
            <v>0.73270526145403414</v>
          </cell>
        </row>
        <row r="73">
          <cell r="R73">
            <v>-1.9722527745917713</v>
          </cell>
          <cell r="S73">
            <v>0.22894257424759951</v>
          </cell>
        </row>
        <row r="74">
          <cell r="R74">
            <v>-2.2001711958715262</v>
          </cell>
          <cell r="S74">
            <v>0.4056173634514223</v>
          </cell>
        </row>
        <row r="75">
          <cell r="R75">
            <v>-1.7859234639819934</v>
          </cell>
          <cell r="S75">
            <v>0.32624392890270082</v>
          </cell>
        </row>
        <row r="76">
          <cell r="R76">
            <v>-2.6925390210231153</v>
          </cell>
          <cell r="S76">
            <v>0.22423549097252743</v>
          </cell>
        </row>
        <row r="77">
          <cell r="R77">
            <v>-1.437062641610565</v>
          </cell>
          <cell r="S77">
            <v>1.1679032362427864</v>
          </cell>
        </row>
        <row r="78">
          <cell r="R78">
            <v>-2.7716112981438088</v>
          </cell>
          <cell r="S78">
            <v>0.4462894925338291</v>
          </cell>
        </row>
        <row r="79">
          <cell r="R79">
            <v>-2.4977780818764361</v>
          </cell>
          <cell r="S79">
            <v>2.5524643266934471E-2</v>
          </cell>
        </row>
        <row r="80">
          <cell r="R80">
            <v>-2.5244931192681821</v>
          </cell>
          <cell r="S80">
            <v>2.0809788977760122E-2</v>
          </cell>
        </row>
        <row r="81">
          <cell r="R81">
            <v>-2.5503342267146194</v>
          </cell>
          <cell r="S81">
            <v>2.0208315985782429E-2</v>
          </cell>
        </row>
        <row r="82">
          <cell r="R82">
            <v>-2.5997920164080326</v>
          </cell>
          <cell r="S82">
            <v>7.1609878314558978E-2</v>
          </cell>
        </row>
        <row r="83">
          <cell r="R83">
            <v>-2.6985182433230541</v>
          </cell>
          <cell r="S83">
            <v>7.0932081099047292E-2</v>
          </cell>
        </row>
        <row r="84">
          <cell r="R84">
            <v>-2.7331387552717401</v>
          </cell>
          <cell r="S84">
            <v>1.9498202877371501E-2</v>
          </cell>
        </row>
        <row r="85">
          <cell r="R85">
            <v>-2.9100266498328908</v>
          </cell>
          <cell r="S85">
            <v>8.273004608958355E-2</v>
          </cell>
        </row>
        <row r="86">
          <cell r="R86">
            <v>-2.5644955583410063</v>
          </cell>
          <cell r="S86">
            <v>8.9481485528646862E-2</v>
          </cell>
        </row>
        <row r="87">
          <cell r="R87">
            <v>-2.5798174856862741</v>
          </cell>
          <cell r="S87">
            <v>8.839880975285333E-2</v>
          </cell>
        </row>
        <row r="88">
          <cell r="R88">
            <v>-2.6726458730889453</v>
          </cell>
          <cell r="S88">
            <v>0.10105120195038081</v>
          </cell>
        </row>
        <row r="89">
          <cell r="R89">
            <v>-2.8631856824739712</v>
          </cell>
          <cell r="S89">
            <v>4.6945644763123365E-2</v>
          </cell>
        </row>
        <row r="90">
          <cell r="R90">
            <v>-2.5241166200697798</v>
          </cell>
          <cell r="S90">
            <v>0.14729478689588577</v>
          </cell>
        </row>
        <row r="91">
          <cell r="R91">
            <v>-2.6734213710963264</v>
          </cell>
          <cell r="S91">
            <v>0.1257484830609881</v>
          </cell>
        </row>
        <row r="92">
          <cell r="R92">
            <v>-2.7074910407995989</v>
          </cell>
          <cell r="S92">
            <v>9.3945859132396003E-2</v>
          </cell>
        </row>
        <row r="93">
          <cell r="R93">
            <v>-3.1049971736048945</v>
          </cell>
          <cell r="S93">
            <v>3.8044782931817109E-2</v>
          </cell>
        </row>
        <row r="94">
          <cell r="R94">
            <v>-2.3182131079263804</v>
          </cell>
          <cell r="S94">
            <v>7.1104160305038897E-2</v>
          </cell>
        </row>
        <row r="95">
          <cell r="R95">
            <v>-2.3582094386761909</v>
          </cell>
          <cell r="S95">
            <v>0.23568827248698979</v>
          </cell>
        </row>
        <row r="96">
          <cell r="R96">
            <v>-2.5403001407628842</v>
          </cell>
          <cell r="S96">
            <v>0.18265208839971578</v>
          </cell>
        </row>
        <row r="97">
          <cell r="R97">
            <v>-2.4966535690822766</v>
          </cell>
          <cell r="S97">
            <v>0.31530598957602873</v>
          </cell>
        </row>
        <row r="98">
          <cell r="R98">
            <v>-2.3140895575813931</v>
          </cell>
          <cell r="S98">
            <v>6.7685995135638713E-3</v>
          </cell>
        </row>
        <row r="99">
          <cell r="R99">
            <v>-2.2677094257496111</v>
          </cell>
          <cell r="S99">
            <v>0.16425126080538233</v>
          </cell>
        </row>
        <row r="100">
          <cell r="R100">
            <v>-2.2004197430101753</v>
          </cell>
          <cell r="S100">
            <v>1.6124089830272904E-2</v>
          </cell>
        </row>
        <row r="101">
          <cell r="R101">
            <v>-2.3639886335299565</v>
          </cell>
          <cell r="S101">
            <v>2.1430840574604114E-2</v>
          </cell>
        </row>
        <row r="102">
          <cell r="R102">
            <v>-2.4591382754933258</v>
          </cell>
          <cell r="S102">
            <v>2.130836077636971E-2</v>
          </cell>
        </row>
        <row r="103">
          <cell r="R103">
            <v>-2.4331433639221651</v>
          </cell>
          <cell r="S103">
            <v>0.15173101020958607</v>
          </cell>
        </row>
        <row r="104">
          <cell r="R104">
            <v>-2.4087964733117126</v>
          </cell>
          <cell r="S104">
            <v>1.3679613937441307E-2</v>
          </cell>
        </row>
        <row r="105">
          <cell r="R105">
            <v>-2.4891988656256103</v>
          </cell>
          <cell r="S105">
            <v>4.219002945616656E-2</v>
          </cell>
        </row>
        <row r="106">
          <cell r="R106">
            <v>-3.5374431448180008</v>
          </cell>
          <cell r="S106">
            <v>0.11564159055416187</v>
          </cell>
        </row>
        <row r="107">
          <cell r="R107">
            <v>-3.4716898290192741</v>
          </cell>
          <cell r="S107">
            <v>7.5054194877854669E-2</v>
          </cell>
        </row>
        <row r="108">
          <cell r="R108">
            <v>-3.445822795339391</v>
          </cell>
          <cell r="S108">
            <v>0.10473916434953986</v>
          </cell>
        </row>
        <row r="109">
          <cell r="R109">
            <v>-3.5848866210738835</v>
          </cell>
          <cell r="S109">
            <v>6.6597781738053696E-2</v>
          </cell>
        </row>
        <row r="110">
          <cell r="R110">
            <v>-2.928750572901957</v>
          </cell>
          <cell r="S110">
            <v>5.0962513754430637E-2</v>
          </cell>
        </row>
        <row r="111">
          <cell r="R111">
            <v>-2.6202345625608796</v>
          </cell>
          <cell r="S111">
            <v>3.5471990212101713E-2</v>
          </cell>
        </row>
        <row r="112">
          <cell r="R112">
            <v>-2.8911388900326243</v>
          </cell>
          <cell r="S112">
            <v>3.0223157703497632E-2</v>
          </cell>
        </row>
        <row r="113">
          <cell r="R113">
            <v>-2.5473155822200071</v>
          </cell>
          <cell r="S113">
            <v>2.8417203850582263E-2</v>
          </cell>
        </row>
        <row r="114">
          <cell r="R114">
            <v>-2.904457567086228</v>
          </cell>
          <cell r="S114">
            <v>7.8506917452861452E-2</v>
          </cell>
        </row>
        <row r="115">
          <cell r="R115">
            <v>-2.6952698181447778</v>
          </cell>
          <cell r="S115">
            <v>5.4211604109053096E-2</v>
          </cell>
        </row>
        <row r="116">
          <cell r="R116">
            <v>-2.6659413564893852</v>
          </cell>
          <cell r="S116">
            <v>9.0328827025522376E-2</v>
          </cell>
        </row>
        <row r="117">
          <cell r="R117">
            <v>-2.5558319041777766</v>
          </cell>
          <cell r="S117">
            <v>0.10053058922904846</v>
          </cell>
        </row>
        <row r="118">
          <cell r="R118">
            <v>-2.5486341660717278</v>
          </cell>
          <cell r="S118">
            <v>6.1602076146567777E-2</v>
          </cell>
        </row>
        <row r="119">
          <cell r="R119">
            <v>-2.5917509076871101</v>
          </cell>
          <cell r="S119">
            <v>0.10565797977122646</v>
          </cell>
        </row>
        <row r="120">
          <cell r="R120">
            <v>-2.6060148069023898</v>
          </cell>
          <cell r="S120">
            <v>6.207612406626177E-2</v>
          </cell>
        </row>
        <row r="121">
          <cell r="R121">
            <v>-2.6519155917006345</v>
          </cell>
          <cell r="S121">
            <v>4.2078933207775844E-2</v>
          </cell>
        </row>
        <row r="122">
          <cell r="R122">
            <v>-2.8071937769300574</v>
          </cell>
          <cell r="S122">
            <v>9.7609839716261179E-2</v>
          </cell>
        </row>
        <row r="123">
          <cell r="R123">
            <v>-2.853585100556101</v>
          </cell>
          <cell r="S123">
            <v>0.11325713705488742</v>
          </cell>
        </row>
        <row r="124">
          <cell r="R124">
            <v>-2.6649837570759116</v>
          </cell>
          <cell r="S124">
            <v>3.0729213630437492E-2</v>
          </cell>
        </row>
        <row r="125">
          <cell r="R125">
            <v>-2.5376078380954858</v>
          </cell>
          <cell r="S125">
            <v>8.0984662617769571E-2</v>
          </cell>
        </row>
        <row r="126">
          <cell r="R126">
            <v>-2.999493996964226</v>
          </cell>
          <cell r="S126">
            <v>8.9047150709766515E-2</v>
          </cell>
        </row>
        <row r="127">
          <cell r="R127">
            <v>-2.81246559233545</v>
          </cell>
          <cell r="S127">
            <v>8.0452493422444149E-2</v>
          </cell>
        </row>
        <row r="128">
          <cell r="R128">
            <v>-2.8252737660310494</v>
          </cell>
          <cell r="S128">
            <v>0.19009641724002285</v>
          </cell>
        </row>
        <row r="129">
          <cell r="R129">
            <v>-2.5010480501747807</v>
          </cell>
          <cell r="S129">
            <v>0.1920314908119817</v>
          </cell>
        </row>
        <row r="130">
          <cell r="R130">
            <v>-2.4162776687783603</v>
          </cell>
          <cell r="S130">
            <v>9.1437207007543347E-2</v>
          </cell>
        </row>
        <row r="131">
          <cell r="R131">
            <v>-2.0012459633664501</v>
          </cell>
          <cell r="S131">
            <v>5.2362679809965097E-2</v>
          </cell>
        </row>
        <row r="132">
          <cell r="R132">
            <v>-2.336483083718313</v>
          </cell>
          <cell r="S132">
            <v>5.6422584729102852E-2</v>
          </cell>
        </row>
        <row r="133">
          <cell r="R133">
            <v>-2.1486873276415812</v>
          </cell>
          <cell r="S133">
            <v>0.22633365776634412</v>
          </cell>
        </row>
        <row r="134">
          <cell r="R134">
            <v>-2.0359648272212292</v>
          </cell>
          <cell r="S134">
            <v>0.31525999306292296</v>
          </cell>
        </row>
        <row r="135">
          <cell r="R135">
            <v>-1.9393051495381546</v>
          </cell>
          <cell r="S135">
            <v>0.44104382427302169</v>
          </cell>
        </row>
        <row r="136">
          <cell r="R136">
            <v>-2.6001879087023911</v>
          </cell>
          <cell r="S136">
            <v>3.3315390013242949E-2</v>
          </cell>
        </row>
        <row r="137">
          <cell r="R137">
            <v>-2.6217897274652779</v>
          </cell>
          <cell r="S137">
            <v>7.1124961922912941E-2</v>
          </cell>
        </row>
        <row r="138">
          <cell r="R138">
            <v>-2.6984263118635372</v>
          </cell>
          <cell r="S138">
            <v>3.2927735478878006E-2</v>
          </cell>
        </row>
        <row r="139">
          <cell r="R139">
            <v>-2.3061519053031518</v>
          </cell>
          <cell r="S139">
            <v>6.6981421343360908E-2</v>
          </cell>
        </row>
        <row r="140">
          <cell r="R140">
            <v>-2.3403744127700605</v>
          </cell>
          <cell r="S140">
            <v>5.5159336999480266E-2</v>
          </cell>
        </row>
        <row r="141">
          <cell r="R141">
            <v>-2.3609116211090164</v>
          </cell>
          <cell r="S141">
            <v>5.611445749749034E-2</v>
          </cell>
        </row>
      </sheetData>
      <sheetData sheetId="32"/>
      <sheetData sheetId="3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A221-74E8-4AB4-9172-E271D931F6D0}">
  <dimension ref="A1"/>
  <sheetViews>
    <sheetView tabSelected="1" workbookViewId="0">
      <selection activeCell="A2" sqref="A2"/>
    </sheetView>
  </sheetViews>
  <sheetFormatPr defaultRowHeight="15" x14ac:dyDescent="0.25"/>
  <cols>
    <col min="1" max="1" width="246.7109375" customWidth="1"/>
  </cols>
  <sheetData>
    <row r="1" spans="1:1" ht="315" x14ac:dyDescent="0.25">
      <c r="A1" s="10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616A-7BA9-4E64-A056-915715DCD9A7}">
  <sheetPr>
    <tabColor theme="0"/>
  </sheetPr>
  <dimension ref="A1:AA202"/>
  <sheetViews>
    <sheetView workbookViewId="0">
      <pane ySplit="1" topLeftCell="A2" activePane="bottomLeft" state="frozen"/>
      <selection activeCell="N835" sqref="N835"/>
      <selection pane="bottomLeft" activeCell="E30" sqref="E30"/>
    </sheetView>
  </sheetViews>
  <sheetFormatPr defaultRowHeight="15" x14ac:dyDescent="0.25"/>
  <cols>
    <col min="1" max="1" width="9.140625" style="4"/>
    <col min="2" max="4" width="8.7109375" style="4" customWidth="1"/>
    <col min="5" max="5" width="7.28515625" style="4" customWidth="1"/>
    <col min="6" max="6" width="6.140625" style="4" customWidth="1"/>
    <col min="7" max="7" width="4.5703125" style="4" customWidth="1"/>
    <col min="8" max="8" width="9.28515625" style="5"/>
    <col min="9" max="9" width="4.5703125" style="4" customWidth="1"/>
    <col min="10" max="13" width="9.140625" style="4"/>
    <col min="14" max="14" width="5.42578125" style="6" customWidth="1"/>
    <col min="15" max="19" width="9.140625" style="4"/>
    <col min="20" max="21" width="11.85546875" style="4" bestFit="1" customWidth="1"/>
    <col min="22" max="23" width="9.140625" style="4"/>
    <col min="24" max="25" width="7.7109375" style="4" customWidth="1"/>
    <col min="26" max="16384" width="9.140625" style="4"/>
  </cols>
  <sheetData>
    <row r="1" spans="1:27" s="1" customFormat="1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52</v>
      </c>
      <c r="F1" s="1" t="s">
        <v>3</v>
      </c>
      <c r="H1" s="2" t="s">
        <v>55</v>
      </c>
      <c r="I1" s="1" t="s">
        <v>274</v>
      </c>
      <c r="J1" s="1" t="s">
        <v>63</v>
      </c>
      <c r="K1" s="1" t="s">
        <v>64</v>
      </c>
      <c r="L1" s="1" t="s">
        <v>65</v>
      </c>
      <c r="M1" s="1" t="s">
        <v>66</v>
      </c>
      <c r="N1" s="3" t="s">
        <v>67</v>
      </c>
      <c r="O1" s="1" t="s">
        <v>60</v>
      </c>
      <c r="P1" s="1" t="s">
        <v>68</v>
      </c>
      <c r="Q1" s="1" t="s">
        <v>275</v>
      </c>
      <c r="R1" s="1" t="s">
        <v>56</v>
      </c>
      <c r="S1" s="1" t="s">
        <v>69</v>
      </c>
      <c r="T1" s="1" t="s">
        <v>57</v>
      </c>
      <c r="U1" s="1" t="s">
        <v>70</v>
      </c>
      <c r="V1" s="1" t="s">
        <v>58</v>
      </c>
      <c r="W1" s="1" t="s">
        <v>71</v>
      </c>
      <c r="X1" s="1" t="s">
        <v>59</v>
      </c>
      <c r="Y1" s="1" t="s">
        <v>72</v>
      </c>
      <c r="Z1" s="1" t="s">
        <v>61</v>
      </c>
      <c r="AA1" s="1" t="s">
        <v>62</v>
      </c>
    </row>
    <row r="2" spans="1:27" x14ac:dyDescent="0.25">
      <c r="A2" s="4" t="s">
        <v>74</v>
      </c>
      <c r="B2" s="4" t="s">
        <v>4</v>
      </c>
      <c r="C2" s="4" t="s">
        <v>5</v>
      </c>
      <c r="D2" s="4" t="s">
        <v>6</v>
      </c>
      <c r="E2" s="4" t="s">
        <v>53</v>
      </c>
      <c r="F2" s="4">
        <v>20</v>
      </c>
      <c r="H2" s="5" t="s">
        <v>276</v>
      </c>
      <c r="J2" s="4">
        <v>0.2</v>
      </c>
      <c r="K2" s="4">
        <v>20</v>
      </c>
      <c r="L2" s="4">
        <v>0.9</v>
      </c>
      <c r="O2" s="4">
        <v>1</v>
      </c>
      <c r="P2" s="4">
        <v>11</v>
      </c>
      <c r="Q2" s="4">
        <v>0.80699999999999994</v>
      </c>
      <c r="R2" s="4">
        <v>6.5329375283491628E-2</v>
      </c>
      <c r="S2" s="4">
        <v>1.4610390774331083E-2</v>
      </c>
      <c r="T2" s="4">
        <v>1.0162951986412592</v>
      </c>
      <c r="U2" s="4">
        <v>0.25759593192657704</v>
      </c>
      <c r="V2" s="4">
        <v>1.0176051186198265</v>
      </c>
      <c r="W2" s="4">
        <v>3.1627401664670589E-2</v>
      </c>
      <c r="Z2" s="4">
        <v>0.1241393216935518</v>
      </c>
      <c r="AA2" s="4">
        <v>0.99399898203360493</v>
      </c>
    </row>
    <row r="3" spans="1:27" x14ac:dyDescent="0.25">
      <c r="A3" s="4" t="s">
        <v>75</v>
      </c>
      <c r="B3" s="4" t="s">
        <v>4</v>
      </c>
      <c r="C3" s="4" t="s">
        <v>5</v>
      </c>
      <c r="D3" s="4" t="s">
        <v>6</v>
      </c>
      <c r="E3" s="4" t="s">
        <v>54</v>
      </c>
      <c r="F3" s="4">
        <v>20</v>
      </c>
      <c r="H3" s="5" t="s">
        <v>276</v>
      </c>
      <c r="J3" s="4">
        <v>0.2</v>
      </c>
      <c r="K3" s="4">
        <v>20</v>
      </c>
      <c r="L3" s="4">
        <v>0.9</v>
      </c>
      <c r="O3" s="4">
        <v>1</v>
      </c>
      <c r="P3" s="4">
        <v>11</v>
      </c>
      <c r="Q3" s="4">
        <v>0.80699999999999994</v>
      </c>
      <c r="R3" s="4">
        <v>8.7649958600114347E-2</v>
      </c>
      <c r="S3" s="4">
        <v>4.818419418015348E-3</v>
      </c>
      <c r="T3" s="4">
        <v>1.0779757541857127</v>
      </c>
      <c r="U3" s="4">
        <v>6.6142621696652901E-2</v>
      </c>
      <c r="V3" s="4">
        <v>1.0035046748128906</v>
      </c>
      <c r="W3" s="4">
        <v>8.3814911867956948E-3</v>
      </c>
      <c r="Z3" s="4">
        <v>2.9006290131295936E-2</v>
      </c>
      <c r="AA3" s="4">
        <v>0.9996516176189012</v>
      </c>
    </row>
    <row r="4" spans="1:27" x14ac:dyDescent="0.25">
      <c r="A4" s="4" t="s">
        <v>76</v>
      </c>
      <c r="B4" s="4" t="s">
        <v>4</v>
      </c>
      <c r="C4" s="4" t="s">
        <v>5</v>
      </c>
      <c r="D4" s="4" t="s">
        <v>6</v>
      </c>
      <c r="E4" s="4" t="s">
        <v>53</v>
      </c>
      <c r="F4" s="4">
        <v>26</v>
      </c>
      <c r="H4" s="5" t="s">
        <v>276</v>
      </c>
      <c r="J4" s="4">
        <v>0.2</v>
      </c>
      <c r="K4" s="4">
        <v>20</v>
      </c>
      <c r="L4" s="4">
        <v>0.9</v>
      </c>
      <c r="O4" s="4">
        <v>1</v>
      </c>
      <c r="P4" s="4">
        <v>11</v>
      </c>
      <c r="Q4" s="4">
        <v>0.78800000000000003</v>
      </c>
      <c r="R4" s="4">
        <v>4.539224976497893E-2</v>
      </c>
      <c r="S4" s="4">
        <v>6.7499268434419819E-3</v>
      </c>
      <c r="T4" s="4">
        <v>1.5262844106952258</v>
      </c>
      <c r="U4" s="4">
        <v>0.27018873235346019</v>
      </c>
      <c r="V4" s="4">
        <v>1.0231985985667389</v>
      </c>
      <c r="W4" s="4">
        <v>2.6107791381134639E-2</v>
      </c>
      <c r="Z4" s="4">
        <v>9.2396858125386172E-2</v>
      </c>
      <c r="AA4" s="4">
        <v>0.99597237521203641</v>
      </c>
    </row>
    <row r="5" spans="1:27" x14ac:dyDescent="0.25">
      <c r="A5" s="4" t="s">
        <v>77</v>
      </c>
      <c r="B5" s="4" t="s">
        <v>4</v>
      </c>
      <c r="C5" s="4" t="s">
        <v>5</v>
      </c>
      <c r="D5" s="4" t="s">
        <v>6</v>
      </c>
      <c r="E5" s="4" t="s">
        <v>54</v>
      </c>
      <c r="F5" s="4">
        <v>26</v>
      </c>
      <c r="H5" s="5" t="s">
        <v>276</v>
      </c>
      <c r="J5" s="4">
        <v>0.2</v>
      </c>
      <c r="K5" s="4">
        <v>20</v>
      </c>
      <c r="L5" s="4">
        <v>0.9</v>
      </c>
      <c r="O5" s="4">
        <v>1</v>
      </c>
      <c r="P5" s="4">
        <v>11</v>
      </c>
      <c r="Q5" s="4">
        <v>0.78800000000000003</v>
      </c>
      <c r="R5" s="4">
        <v>8.2592282254019211E-2</v>
      </c>
      <c r="S5" s="4">
        <v>9.5083013855276222E-3</v>
      </c>
      <c r="T5" s="4">
        <v>0.98630829606331349</v>
      </c>
      <c r="U5" s="4">
        <v>0.11878933311015263</v>
      </c>
      <c r="V5" s="4">
        <v>0.99884976694346628</v>
      </c>
      <c r="W5" s="4">
        <v>1.8823167243628112E-2</v>
      </c>
      <c r="Z5" s="4">
        <v>4.7519301490439828E-2</v>
      </c>
      <c r="AA5" s="4">
        <v>0.99904937414053596</v>
      </c>
    </row>
    <row r="6" spans="1:27" x14ac:dyDescent="0.25">
      <c r="A6" s="4" t="s">
        <v>78</v>
      </c>
      <c r="B6" s="4" t="s">
        <v>4</v>
      </c>
      <c r="C6" s="4" t="s">
        <v>5</v>
      </c>
      <c r="D6" s="4" t="s">
        <v>6</v>
      </c>
      <c r="E6" s="4" t="s">
        <v>53</v>
      </c>
      <c r="F6" s="4">
        <v>33</v>
      </c>
      <c r="H6" s="5" t="s">
        <v>276</v>
      </c>
      <c r="J6" s="4">
        <v>0.2</v>
      </c>
      <c r="K6" s="4">
        <v>20</v>
      </c>
      <c r="L6" s="4">
        <v>0.9</v>
      </c>
      <c r="O6" s="4">
        <v>1</v>
      </c>
      <c r="P6" s="4">
        <v>11</v>
      </c>
      <c r="Q6" s="4">
        <v>0.76800000000000002</v>
      </c>
      <c r="R6" s="4">
        <v>4.2000014283147258E-2</v>
      </c>
      <c r="S6" s="4">
        <v>7.2995831755647642E-3</v>
      </c>
      <c r="T6" s="4">
        <v>1.4609964000947264</v>
      </c>
      <c r="U6" s="4">
        <v>0.28313378372706222</v>
      </c>
      <c r="V6" s="4">
        <v>1.0181617398513221</v>
      </c>
      <c r="W6" s="4">
        <v>3.3644868837204953E-2</v>
      </c>
      <c r="Z6" s="4">
        <v>9.0199808380186861E-2</v>
      </c>
      <c r="AA6" s="4">
        <v>0.99605122637497367</v>
      </c>
    </row>
    <row r="7" spans="1:27" x14ac:dyDescent="0.25">
      <c r="A7" s="4" t="s">
        <v>79</v>
      </c>
      <c r="B7" s="4" t="s">
        <v>4</v>
      </c>
      <c r="C7" s="4" t="s">
        <v>5</v>
      </c>
      <c r="D7" s="4" t="s">
        <v>6</v>
      </c>
      <c r="E7" s="4" t="s">
        <v>54</v>
      </c>
      <c r="F7" s="4">
        <v>33</v>
      </c>
      <c r="H7" s="5" t="s">
        <v>276</v>
      </c>
      <c r="J7" s="4">
        <v>0.2</v>
      </c>
      <c r="K7" s="4">
        <v>20</v>
      </c>
      <c r="L7" s="4">
        <v>0.9</v>
      </c>
      <c r="O7" s="4">
        <v>1</v>
      </c>
      <c r="P7" s="4">
        <v>11</v>
      </c>
      <c r="Q7" s="4">
        <v>0.76800000000000002</v>
      </c>
      <c r="R7" s="4">
        <v>6.7366925048556694E-2</v>
      </c>
      <c r="S7" s="4">
        <v>2.3854140343278443E-2</v>
      </c>
      <c r="T7" s="4">
        <v>0.97586973411289613</v>
      </c>
      <c r="U7" s="4">
        <v>0.36033040960448359</v>
      </c>
      <c r="V7" s="4">
        <v>1.0233982467764577</v>
      </c>
      <c r="W7" s="4">
        <v>5.8597121133880214E-2</v>
      </c>
      <c r="Z7" s="4">
        <v>0.14226969851108101</v>
      </c>
      <c r="AA7" s="4">
        <v>0.9917565264696816</v>
      </c>
    </row>
    <row r="8" spans="1:27" x14ac:dyDescent="0.25">
      <c r="A8" s="4" t="s">
        <v>80</v>
      </c>
      <c r="B8" s="4" t="s">
        <v>4</v>
      </c>
      <c r="C8" s="4" t="s">
        <v>5</v>
      </c>
      <c r="D8" s="4" t="s">
        <v>6</v>
      </c>
      <c r="E8" s="4" t="s">
        <v>53</v>
      </c>
      <c r="F8" s="4">
        <v>38</v>
      </c>
      <c r="H8" s="5" t="s">
        <v>276</v>
      </c>
      <c r="J8" s="4">
        <v>0.2</v>
      </c>
      <c r="K8" s="4">
        <v>20</v>
      </c>
      <c r="L8" s="4">
        <v>0.9</v>
      </c>
      <c r="O8" s="4">
        <v>1</v>
      </c>
      <c r="P8" s="4">
        <v>11</v>
      </c>
      <c r="Q8" s="4">
        <v>0.75300000000000011</v>
      </c>
      <c r="R8" s="4">
        <v>5.1895290827639329E-2</v>
      </c>
      <c r="S8" s="4">
        <v>1.0357062619858628E-2</v>
      </c>
      <c r="T8" s="4">
        <v>1.0322680115912866</v>
      </c>
      <c r="U8" s="4">
        <v>0.20699048591043004</v>
      </c>
      <c r="V8" s="4">
        <v>1.0068742870923573</v>
      </c>
      <c r="W8" s="4">
        <v>3.6817865225493102E-2</v>
      </c>
      <c r="Z8" s="4">
        <v>7.0461032328253875E-2</v>
      </c>
      <c r="AA8" s="4">
        <v>0.99780743713499798</v>
      </c>
    </row>
    <row r="9" spans="1:27" x14ac:dyDescent="0.25">
      <c r="A9" s="4" t="s">
        <v>81</v>
      </c>
      <c r="B9" s="4" t="s">
        <v>4</v>
      </c>
      <c r="C9" s="4" t="s">
        <v>5</v>
      </c>
      <c r="D9" s="4" t="s">
        <v>6</v>
      </c>
      <c r="E9" s="4" t="s">
        <v>54</v>
      </c>
      <c r="F9" s="4">
        <v>38</v>
      </c>
      <c r="H9" s="5" t="s">
        <v>276</v>
      </c>
      <c r="J9" s="4">
        <v>0.2</v>
      </c>
      <c r="K9" s="4">
        <v>20</v>
      </c>
      <c r="L9" s="4">
        <v>0.9</v>
      </c>
      <c r="O9" s="4">
        <v>1</v>
      </c>
      <c r="P9" s="4">
        <v>11</v>
      </c>
      <c r="Q9" s="4">
        <v>0.75300000000000011</v>
      </c>
      <c r="R9" s="4">
        <v>5.4782549811735359E-2</v>
      </c>
      <c r="S9" s="4">
        <v>1.6511198545162486E-2</v>
      </c>
      <c r="T9" s="4">
        <v>1.1886798387954194</v>
      </c>
      <c r="U9" s="4">
        <v>0.36169990911811889</v>
      </c>
      <c r="V9" s="4">
        <v>0.99486361199527007</v>
      </c>
      <c r="W9" s="4">
        <v>6.0196447527602621E-2</v>
      </c>
      <c r="Z9" s="4">
        <v>0.11277060431353342</v>
      </c>
      <c r="AA9" s="4">
        <v>0.99395377168607912</v>
      </c>
    </row>
    <row r="10" spans="1:27" x14ac:dyDescent="0.25">
      <c r="A10" s="4" t="s">
        <v>82</v>
      </c>
      <c r="B10" s="4" t="s">
        <v>4</v>
      </c>
      <c r="C10" s="4" t="s">
        <v>5</v>
      </c>
      <c r="D10" s="4" t="s">
        <v>6</v>
      </c>
      <c r="E10" s="4" t="s">
        <v>53</v>
      </c>
      <c r="F10" s="4">
        <v>44</v>
      </c>
      <c r="H10" s="5" t="s">
        <v>276</v>
      </c>
      <c r="J10" s="4">
        <v>0.2</v>
      </c>
      <c r="K10" s="4">
        <v>20</v>
      </c>
      <c r="L10" s="4">
        <v>0.9</v>
      </c>
      <c r="O10" s="4">
        <v>1</v>
      </c>
      <c r="P10" s="4">
        <v>11</v>
      </c>
      <c r="Q10" s="4">
        <v>0.73799999999999999</v>
      </c>
      <c r="R10" s="4">
        <v>3.8642097754955584E-2</v>
      </c>
      <c r="S10" s="4">
        <v>6.5995621872736408E-3</v>
      </c>
      <c r="T10" s="4">
        <v>1.2143301118804284</v>
      </c>
      <c r="U10" s="4">
        <v>0.21591821346319351</v>
      </c>
      <c r="V10" s="4">
        <v>1.0341843732879412</v>
      </c>
      <c r="W10" s="4">
        <v>3.3449225093042372E-2</v>
      </c>
      <c r="Z10" s="4">
        <v>7.0653787539215071E-2</v>
      </c>
      <c r="AA10" s="4">
        <v>0.99770622176945911</v>
      </c>
    </row>
    <row r="11" spans="1:27" x14ac:dyDescent="0.25">
      <c r="A11" s="4" t="s">
        <v>83</v>
      </c>
      <c r="B11" s="4" t="s">
        <v>4</v>
      </c>
      <c r="C11" s="4" t="s">
        <v>5</v>
      </c>
      <c r="D11" s="4" t="s">
        <v>6</v>
      </c>
      <c r="E11" s="4" t="s">
        <v>54</v>
      </c>
      <c r="F11" s="4">
        <v>44</v>
      </c>
      <c r="H11" s="5" t="s">
        <v>276</v>
      </c>
      <c r="J11" s="4">
        <v>0.2</v>
      </c>
      <c r="K11" s="4">
        <v>20</v>
      </c>
      <c r="L11" s="4">
        <v>0.9</v>
      </c>
      <c r="O11" s="4">
        <v>1</v>
      </c>
      <c r="P11" s="4">
        <v>11</v>
      </c>
      <c r="Q11" s="4">
        <v>0.73799999999999999</v>
      </c>
      <c r="R11" s="4">
        <v>3.9960622329057581E-2</v>
      </c>
      <c r="S11" s="4">
        <v>6.8322050825536896E-3</v>
      </c>
      <c r="T11" s="4">
        <v>1.6043746121876781</v>
      </c>
      <c r="U11" s="4">
        <v>0.29923699215107441</v>
      </c>
      <c r="V11" s="4">
        <v>1.0286165400592742</v>
      </c>
      <c r="W11" s="4">
        <v>3.7328696305586197E-2</v>
      </c>
      <c r="Z11" s="4">
        <v>8.4039966210639458E-2</v>
      </c>
      <c r="AA11" s="4">
        <v>0.99632257111303313</v>
      </c>
    </row>
    <row r="12" spans="1:27" x14ac:dyDescent="0.25">
      <c r="A12" s="4" t="s">
        <v>84</v>
      </c>
      <c r="B12" s="4" t="s">
        <v>7</v>
      </c>
      <c r="C12" s="4" t="s">
        <v>8</v>
      </c>
      <c r="D12" s="4" t="s">
        <v>9</v>
      </c>
      <c r="E12" s="4" t="s">
        <v>53</v>
      </c>
      <c r="F12" s="4">
        <v>5</v>
      </c>
      <c r="H12" s="5" t="s">
        <v>276</v>
      </c>
      <c r="J12" s="4">
        <v>0.2</v>
      </c>
      <c r="K12" s="4">
        <v>20</v>
      </c>
      <c r="L12" s="4">
        <v>0.9</v>
      </c>
      <c r="O12" s="4">
        <v>1</v>
      </c>
      <c r="P12" s="4">
        <v>6</v>
      </c>
      <c r="Q12" s="4">
        <v>0.86</v>
      </c>
      <c r="R12" s="4">
        <v>9.468913541291718E-2</v>
      </c>
      <c r="S12" s="4">
        <v>4.7933906454390857E-2</v>
      </c>
      <c r="T12" s="4">
        <v>2.7033134419467193</v>
      </c>
      <c r="U12" s="4">
        <v>1.4150853994907204</v>
      </c>
      <c r="V12" s="4">
        <v>0.70977055138957701</v>
      </c>
      <c r="W12" s="4">
        <v>0.14305119114210602</v>
      </c>
      <c r="Z12" s="4">
        <v>0.1630775857517171</v>
      </c>
      <c r="AA12" s="4">
        <v>0.97096673114849108</v>
      </c>
    </row>
    <row r="13" spans="1:27" x14ac:dyDescent="0.25">
      <c r="A13" s="4" t="s">
        <v>85</v>
      </c>
      <c r="B13" s="4" t="s">
        <v>7</v>
      </c>
      <c r="C13" s="4" t="s">
        <v>8</v>
      </c>
      <c r="D13" s="4" t="s">
        <v>9</v>
      </c>
      <c r="E13" s="4" t="s">
        <v>54</v>
      </c>
      <c r="F13" s="4">
        <v>5</v>
      </c>
      <c r="H13" s="5" t="s">
        <v>276</v>
      </c>
      <c r="J13" s="4">
        <v>0.2</v>
      </c>
      <c r="K13" s="4">
        <v>20</v>
      </c>
      <c r="L13" s="4">
        <v>0.9</v>
      </c>
      <c r="O13" s="4">
        <v>0</v>
      </c>
      <c r="P13" s="4">
        <v>5</v>
      </c>
      <c r="Q13" s="4">
        <v>0.73</v>
      </c>
      <c r="R13" s="4">
        <v>7.2001133059210742E-2</v>
      </c>
      <c r="S13" s="4">
        <v>1.7152070361691248E-2</v>
      </c>
      <c r="T13" s="4">
        <v>4.2080024823688422</v>
      </c>
      <c r="U13" s="4">
        <v>1.3729938484974942</v>
      </c>
      <c r="V13" s="4">
        <v>0.85873160392367198</v>
      </c>
      <c r="W13" s="4">
        <v>7.9639031029641483E-2</v>
      </c>
      <c r="Z13" s="4">
        <v>0.10020594441086293</v>
      </c>
      <c r="AA13" s="4">
        <v>0.98777121588763184</v>
      </c>
    </row>
    <row r="14" spans="1:27" x14ac:dyDescent="0.25">
      <c r="A14" s="4" t="s">
        <v>86</v>
      </c>
      <c r="B14" s="4" t="s">
        <v>7</v>
      </c>
      <c r="C14" s="4" t="s">
        <v>8</v>
      </c>
      <c r="D14" s="4" t="s">
        <v>9</v>
      </c>
      <c r="E14" s="4" t="s">
        <v>53</v>
      </c>
      <c r="F14" s="4">
        <v>15</v>
      </c>
      <c r="H14" s="5" t="s">
        <v>276</v>
      </c>
      <c r="J14" s="4">
        <v>0.2</v>
      </c>
      <c r="K14" s="4">
        <v>20</v>
      </c>
      <c r="L14" s="4">
        <v>0.9</v>
      </c>
      <c r="O14" s="4">
        <v>0</v>
      </c>
      <c r="P14" s="4">
        <v>6</v>
      </c>
      <c r="Q14" s="4">
        <v>0.86</v>
      </c>
      <c r="R14" s="4">
        <v>5.024841835024349E-2</v>
      </c>
      <c r="S14" s="4">
        <v>4.7425943157035624E-3</v>
      </c>
      <c r="T14" s="4">
        <v>4.9243606679746508</v>
      </c>
      <c r="U14" s="4">
        <v>1.0101539246543549</v>
      </c>
      <c r="V14" s="4">
        <v>0.90430449740203356</v>
      </c>
      <c r="W14" s="4">
        <v>1.7408822156999234E-2</v>
      </c>
      <c r="Z14" s="4">
        <v>8.1911402625603064E-2</v>
      </c>
      <c r="AA14" s="4">
        <v>0.99417158120172211</v>
      </c>
    </row>
    <row r="15" spans="1:27" x14ac:dyDescent="0.25">
      <c r="A15" s="4" t="s">
        <v>87</v>
      </c>
      <c r="B15" s="4" t="s">
        <v>7</v>
      </c>
      <c r="C15" s="4" t="s">
        <v>8</v>
      </c>
      <c r="D15" s="4" t="s">
        <v>9</v>
      </c>
      <c r="E15" s="4" t="s">
        <v>54</v>
      </c>
      <c r="F15" s="4">
        <v>15</v>
      </c>
      <c r="H15" s="5" t="s">
        <v>276</v>
      </c>
      <c r="J15" s="4">
        <v>0.2</v>
      </c>
      <c r="K15" s="4">
        <v>20</v>
      </c>
      <c r="L15" s="4">
        <v>0.9</v>
      </c>
      <c r="O15" s="4">
        <v>0</v>
      </c>
      <c r="P15" s="4">
        <v>5</v>
      </c>
      <c r="Q15" s="4">
        <v>0.73</v>
      </c>
      <c r="R15" s="4">
        <v>5.0986964056364402E-2</v>
      </c>
      <c r="S15" s="4">
        <v>3.2880414987859381E-3</v>
      </c>
      <c r="T15" s="4">
        <v>6.7569454234000403</v>
      </c>
      <c r="U15" s="4">
        <v>0.86414121542737743</v>
      </c>
      <c r="V15" s="4">
        <v>0.91810093008076188</v>
      </c>
      <c r="W15" s="4">
        <v>2.0841934963883101E-2</v>
      </c>
      <c r="Z15" s="4">
        <v>3.7814314352394462E-2</v>
      </c>
      <c r="AA15" s="4">
        <v>0.99805313721126765</v>
      </c>
    </row>
    <row r="16" spans="1:27" x14ac:dyDescent="0.25">
      <c r="A16" s="4" t="s">
        <v>88</v>
      </c>
      <c r="B16" s="4" t="s">
        <v>7</v>
      </c>
      <c r="C16" s="4" t="s">
        <v>8</v>
      </c>
      <c r="D16" s="4" t="s">
        <v>9</v>
      </c>
      <c r="E16" s="4" t="s">
        <v>53</v>
      </c>
      <c r="F16" s="4">
        <v>20</v>
      </c>
      <c r="H16" s="5" t="s">
        <v>276</v>
      </c>
      <c r="J16" s="4">
        <v>0.2</v>
      </c>
      <c r="K16" s="4">
        <v>20</v>
      </c>
      <c r="L16" s="4">
        <v>0.9</v>
      </c>
      <c r="O16" s="4">
        <v>0</v>
      </c>
      <c r="P16" s="4">
        <v>6</v>
      </c>
      <c r="Q16" s="4">
        <v>0.86</v>
      </c>
      <c r="R16" s="4">
        <v>4.0905504961466922E-2</v>
      </c>
      <c r="S16" s="4">
        <v>3.255734314084316E-3</v>
      </c>
      <c r="T16" s="4">
        <v>6.659908372810591</v>
      </c>
      <c r="U16" s="4">
        <v>1.5619286839638011</v>
      </c>
      <c r="V16" s="4">
        <v>0.95698697893564344</v>
      </c>
      <c r="W16" s="4">
        <v>9.8477170935551278E-3</v>
      </c>
      <c r="Z16" s="4">
        <v>9.0867363899163542E-2</v>
      </c>
      <c r="AA16" s="4">
        <v>0.99397342709652869</v>
      </c>
    </row>
    <row r="17" spans="1:27" x14ac:dyDescent="0.25">
      <c r="A17" s="4" t="s">
        <v>89</v>
      </c>
      <c r="B17" s="4" t="s">
        <v>7</v>
      </c>
      <c r="C17" s="4" t="s">
        <v>8</v>
      </c>
      <c r="D17" s="4" t="s">
        <v>9</v>
      </c>
      <c r="E17" s="4" t="s">
        <v>54</v>
      </c>
      <c r="F17" s="4">
        <v>20</v>
      </c>
      <c r="H17" s="5" t="s">
        <v>276</v>
      </c>
      <c r="J17" s="4">
        <v>0.2</v>
      </c>
      <c r="K17" s="4">
        <v>20</v>
      </c>
      <c r="L17" s="4">
        <v>0.9</v>
      </c>
      <c r="O17" s="4">
        <v>1</v>
      </c>
      <c r="P17" s="4">
        <v>5</v>
      </c>
      <c r="Q17" s="4">
        <v>0.73</v>
      </c>
      <c r="R17" s="4">
        <v>3.8646164788312148E-2</v>
      </c>
      <c r="S17" s="4">
        <v>4.6802152315885285E-3</v>
      </c>
      <c r="T17" s="4">
        <v>9.7293809098257782</v>
      </c>
      <c r="U17" s="4">
        <v>3.5268562183064582</v>
      </c>
      <c r="V17" s="4">
        <v>1.0127480516910903</v>
      </c>
      <c r="W17" s="4">
        <v>2.9679351873618087E-2</v>
      </c>
      <c r="Z17" s="4">
        <v>9.6137131766433639E-2</v>
      </c>
      <c r="AA17" s="4">
        <v>0.98939441937589112</v>
      </c>
    </row>
    <row r="18" spans="1:27" x14ac:dyDescent="0.25">
      <c r="A18" s="4" t="s">
        <v>90</v>
      </c>
      <c r="B18" s="4" t="s">
        <v>7</v>
      </c>
      <c r="C18" s="4" t="s">
        <v>8</v>
      </c>
      <c r="D18" s="4" t="s">
        <v>9</v>
      </c>
      <c r="E18" s="4" t="s">
        <v>53</v>
      </c>
      <c r="F18" s="4">
        <v>25</v>
      </c>
      <c r="H18" s="5" t="s">
        <v>276</v>
      </c>
      <c r="J18" s="4">
        <v>0.2</v>
      </c>
      <c r="K18" s="4">
        <v>20</v>
      </c>
      <c r="L18" s="4">
        <v>0.9</v>
      </c>
      <c r="O18" s="4">
        <v>0</v>
      </c>
      <c r="P18" s="4">
        <v>6</v>
      </c>
      <c r="Q18" s="4">
        <v>0.86</v>
      </c>
      <c r="R18" s="4">
        <v>3.7541776272039556E-2</v>
      </c>
      <c r="S18" s="4">
        <v>1.4032204573746997E-3</v>
      </c>
      <c r="T18" s="4">
        <v>7.1888777855615213</v>
      </c>
      <c r="U18" s="4">
        <v>0.79349899962670012</v>
      </c>
      <c r="V18" s="4">
        <v>0.94387207585328914</v>
      </c>
      <c r="W18" s="4">
        <v>5.3541626015551711E-3</v>
      </c>
      <c r="Z18" s="4">
        <v>4.1016295067456549E-2</v>
      </c>
      <c r="AA18" s="4">
        <v>0.99862332709730572</v>
      </c>
    </row>
    <row r="19" spans="1:27" x14ac:dyDescent="0.25">
      <c r="A19" s="4" t="s">
        <v>91</v>
      </c>
      <c r="B19" s="4" t="s">
        <v>7</v>
      </c>
      <c r="C19" s="4" t="s">
        <v>8</v>
      </c>
      <c r="D19" s="4" t="s">
        <v>9</v>
      </c>
      <c r="E19" s="4" t="s">
        <v>54</v>
      </c>
      <c r="F19" s="4">
        <v>25</v>
      </c>
      <c r="H19" s="5" t="s">
        <v>276</v>
      </c>
      <c r="J19" s="4">
        <v>0.2</v>
      </c>
      <c r="K19" s="4">
        <v>20</v>
      </c>
      <c r="L19" s="4">
        <v>0.9</v>
      </c>
      <c r="O19" s="4">
        <v>1</v>
      </c>
      <c r="P19" s="4">
        <v>5</v>
      </c>
      <c r="Q19" s="4">
        <v>0.73</v>
      </c>
      <c r="R19" s="4">
        <v>4.0377087246968833E-2</v>
      </c>
      <c r="S19" s="4">
        <v>1.0789353269247737E-2</v>
      </c>
      <c r="T19" s="4">
        <v>8.4620243153551051</v>
      </c>
      <c r="U19" s="4">
        <v>5.3576223035328336</v>
      </c>
      <c r="V19" s="4">
        <v>0.94012841176448159</v>
      </c>
      <c r="W19" s="4">
        <v>8.3877234300811523E-2</v>
      </c>
      <c r="Z19" s="4">
        <v>0.17504882091537968</v>
      </c>
      <c r="AA19" s="4">
        <v>0.95708142163220511</v>
      </c>
    </row>
    <row r="20" spans="1:27" x14ac:dyDescent="0.25">
      <c r="A20" s="4" t="s">
        <v>92</v>
      </c>
      <c r="B20" s="4" t="s">
        <v>7</v>
      </c>
      <c r="C20" s="4" t="s">
        <v>8</v>
      </c>
      <c r="D20" s="4" t="s">
        <v>9</v>
      </c>
      <c r="E20" s="4" t="s">
        <v>53</v>
      </c>
      <c r="F20" s="4">
        <v>30</v>
      </c>
      <c r="H20" s="5" t="s">
        <v>276</v>
      </c>
      <c r="J20" s="4">
        <v>0.2</v>
      </c>
      <c r="K20" s="4">
        <v>20</v>
      </c>
      <c r="L20" s="4">
        <v>0.9</v>
      </c>
      <c r="O20" s="4">
        <v>0</v>
      </c>
      <c r="P20" s="4">
        <v>6</v>
      </c>
      <c r="Q20" s="4">
        <v>0.86</v>
      </c>
      <c r="R20" s="4">
        <v>3.5294243629520793E-2</v>
      </c>
      <c r="S20" s="4">
        <v>7.2928583259631479E-4</v>
      </c>
      <c r="T20" s="4">
        <v>7.1367983917541595</v>
      </c>
      <c r="U20" s="4">
        <v>0.42383200849779046</v>
      </c>
      <c r="V20" s="4">
        <v>0.93587862751019069</v>
      </c>
      <c r="W20" s="4">
        <v>3.1820814993095562E-3</v>
      </c>
      <c r="Z20" s="4">
        <v>2.1960785594449302E-2</v>
      </c>
      <c r="AA20" s="4">
        <v>0.99958743993114763</v>
      </c>
    </row>
    <row r="21" spans="1:27" x14ac:dyDescent="0.25">
      <c r="A21" s="4" t="s">
        <v>93</v>
      </c>
      <c r="B21" s="4" t="s">
        <v>7</v>
      </c>
      <c r="C21" s="4" t="s">
        <v>8</v>
      </c>
      <c r="D21" s="4" t="s">
        <v>9</v>
      </c>
      <c r="E21" s="4" t="s">
        <v>54</v>
      </c>
      <c r="F21" s="4">
        <v>30</v>
      </c>
      <c r="H21" s="5" t="s">
        <v>276</v>
      </c>
      <c r="J21" s="4">
        <v>0.2</v>
      </c>
      <c r="K21" s="4">
        <v>20</v>
      </c>
      <c r="L21" s="4">
        <v>0.9</v>
      </c>
      <c r="O21" s="4">
        <v>0</v>
      </c>
      <c r="P21" s="4">
        <v>5</v>
      </c>
      <c r="Q21" s="4">
        <v>0.73</v>
      </c>
      <c r="R21" s="4">
        <v>4.0412414356958311E-2</v>
      </c>
      <c r="S21" s="4">
        <v>1.6801638402611397E-3</v>
      </c>
      <c r="T21" s="4">
        <v>7.763083772470627</v>
      </c>
      <c r="U21" s="4">
        <v>0.70513038163413433</v>
      </c>
      <c r="V21" s="4">
        <v>0.92584762350618377</v>
      </c>
      <c r="W21" s="4">
        <v>1.3435032262214097E-2</v>
      </c>
      <c r="Z21" s="4">
        <v>2.582079375185127E-2</v>
      </c>
      <c r="AA21" s="4">
        <v>0.99905185887752501</v>
      </c>
    </row>
    <row r="22" spans="1:27" x14ac:dyDescent="0.25">
      <c r="A22" s="4" t="s">
        <v>94</v>
      </c>
      <c r="B22" s="4" t="s">
        <v>7</v>
      </c>
      <c r="C22" s="4" t="s">
        <v>8</v>
      </c>
      <c r="D22" s="4" t="s">
        <v>9</v>
      </c>
      <c r="E22" s="4" t="s">
        <v>53</v>
      </c>
      <c r="F22" s="4">
        <v>35</v>
      </c>
      <c r="H22" s="5" t="s">
        <v>276</v>
      </c>
      <c r="J22" s="4">
        <v>0.2</v>
      </c>
      <c r="K22" s="4">
        <v>20</v>
      </c>
      <c r="L22" s="4">
        <v>0.9</v>
      </c>
      <c r="O22" s="4">
        <v>0</v>
      </c>
      <c r="P22" s="4">
        <v>6</v>
      </c>
      <c r="Q22" s="4">
        <v>0.86</v>
      </c>
      <c r="R22" s="4">
        <v>2.9263680424570684E-2</v>
      </c>
      <c r="S22" s="4">
        <v>1.7240491243824866E-3</v>
      </c>
      <c r="T22" s="4">
        <v>8.5755772992570307</v>
      </c>
      <c r="U22" s="4">
        <v>1.7397139955226768</v>
      </c>
      <c r="V22" s="4">
        <v>0.96219161453382518</v>
      </c>
      <c r="W22" s="4">
        <v>6.9999998241408968E-3</v>
      </c>
      <c r="Z22" s="4">
        <v>7.1330949121963319E-2</v>
      </c>
      <c r="AA22" s="4">
        <v>0.99615188363668949</v>
      </c>
    </row>
    <row r="23" spans="1:27" x14ac:dyDescent="0.25">
      <c r="A23" s="4" t="s">
        <v>95</v>
      </c>
      <c r="B23" s="4" t="s">
        <v>7</v>
      </c>
      <c r="C23" s="4" t="s">
        <v>8</v>
      </c>
      <c r="D23" s="4" t="s">
        <v>9</v>
      </c>
      <c r="E23" s="4" t="s">
        <v>54</v>
      </c>
      <c r="F23" s="4">
        <v>35</v>
      </c>
      <c r="H23" s="5" t="s">
        <v>276</v>
      </c>
      <c r="J23" s="4">
        <v>0.2</v>
      </c>
      <c r="K23" s="4">
        <v>20</v>
      </c>
      <c r="L23" s="4">
        <v>0.9</v>
      </c>
      <c r="O23" s="4">
        <v>0</v>
      </c>
      <c r="P23" s="4">
        <v>5</v>
      </c>
      <c r="Q23" s="4">
        <v>0.73</v>
      </c>
      <c r="R23" s="4">
        <v>3.8377555946459765E-2</v>
      </c>
      <c r="S23" s="4">
        <v>2.9787545528493667E-3</v>
      </c>
      <c r="T23" s="4">
        <v>7.9546968457991953</v>
      </c>
      <c r="U23" s="4">
        <v>1.3275852049743704</v>
      </c>
      <c r="V23" s="4">
        <v>0.91088875095407462</v>
      </c>
      <c r="W23" s="4">
        <v>2.6174509035191758E-2</v>
      </c>
      <c r="Z23" s="4">
        <v>4.6974812464286093E-2</v>
      </c>
      <c r="AA23" s="4">
        <v>0.99669206683909106</v>
      </c>
    </row>
    <row r="24" spans="1:27" x14ac:dyDescent="0.25">
      <c r="A24" s="4" t="s">
        <v>96</v>
      </c>
      <c r="B24" s="4" t="s">
        <v>10</v>
      </c>
      <c r="C24" s="4" t="s">
        <v>11</v>
      </c>
      <c r="D24" s="4" t="s">
        <v>6</v>
      </c>
      <c r="F24" s="4">
        <v>35</v>
      </c>
      <c r="H24" s="5" t="s">
        <v>276</v>
      </c>
      <c r="J24" s="4">
        <v>0.2</v>
      </c>
      <c r="K24" s="4">
        <v>20</v>
      </c>
      <c r="L24" s="4">
        <v>0.9</v>
      </c>
      <c r="O24" s="4">
        <v>1</v>
      </c>
      <c r="P24" s="4">
        <v>6</v>
      </c>
      <c r="Q24" s="4">
        <v>0.53200000000000003</v>
      </c>
      <c r="R24" s="4">
        <v>0.10957077489829839</v>
      </c>
      <c r="S24" s="4">
        <v>1.503776780386378E-2</v>
      </c>
      <c r="T24" s="4">
        <v>1.7467399451764261</v>
      </c>
      <c r="U24" s="4">
        <v>0.43765249633821918</v>
      </c>
      <c r="V24" s="4">
        <v>1.0634791870040534</v>
      </c>
      <c r="W24" s="4">
        <v>2.1001260223865458E-2</v>
      </c>
      <c r="Z24" s="4">
        <v>5.5961563185888158E-2</v>
      </c>
      <c r="AA24" s="4">
        <v>0.9965923878701568</v>
      </c>
    </row>
    <row r="25" spans="1:27" x14ac:dyDescent="0.25">
      <c r="A25" s="4" t="s">
        <v>98</v>
      </c>
      <c r="B25" s="4" t="s">
        <v>10</v>
      </c>
      <c r="C25" s="4" t="s">
        <v>11</v>
      </c>
      <c r="D25" s="4" t="s">
        <v>6</v>
      </c>
      <c r="F25" s="4">
        <v>50</v>
      </c>
      <c r="H25" s="5" t="s">
        <v>276</v>
      </c>
      <c r="J25" s="4">
        <v>0.2</v>
      </c>
      <c r="K25" s="4">
        <v>20</v>
      </c>
      <c r="L25" s="4">
        <v>0.9</v>
      </c>
      <c r="O25" s="4">
        <v>1</v>
      </c>
      <c r="P25" s="4">
        <v>7</v>
      </c>
      <c r="Q25" s="4">
        <v>0.57700000000000007</v>
      </c>
      <c r="R25" s="4">
        <v>0.17887628168281361</v>
      </c>
      <c r="S25" s="4">
        <v>0.29421226545292423</v>
      </c>
      <c r="T25" s="4">
        <v>0.3797856190090238</v>
      </c>
      <c r="U25" s="4">
        <v>0.59747459596923358</v>
      </c>
      <c r="V25" s="4">
        <v>0.9863917957843229</v>
      </c>
      <c r="W25" s="4">
        <v>0.18155623683530075</v>
      </c>
      <c r="Z25" s="4">
        <v>0.11821068148379658</v>
      </c>
      <c r="AA25" s="4">
        <v>0.98984924773628702</v>
      </c>
    </row>
    <row r="26" spans="1:27" x14ac:dyDescent="0.25">
      <c r="A26" s="4" t="s">
        <v>99</v>
      </c>
      <c r="B26" s="4" t="s">
        <v>10</v>
      </c>
      <c r="C26" s="4" t="s">
        <v>11</v>
      </c>
      <c r="D26" s="4" t="s">
        <v>6</v>
      </c>
      <c r="F26" s="4">
        <v>60</v>
      </c>
      <c r="H26" s="5" t="s">
        <v>276</v>
      </c>
      <c r="J26" s="4">
        <v>0.2</v>
      </c>
      <c r="K26" s="4">
        <v>20</v>
      </c>
      <c r="L26" s="4">
        <v>0.9</v>
      </c>
      <c r="O26" s="4">
        <v>1</v>
      </c>
      <c r="P26" s="4">
        <v>7</v>
      </c>
      <c r="Q26" s="4">
        <v>0.63500000000000001</v>
      </c>
      <c r="R26" s="4">
        <v>6.3876217930582152E-2</v>
      </c>
      <c r="S26" s="4">
        <v>7.0133405712861944E-3</v>
      </c>
      <c r="T26" s="4">
        <v>0.4007515163522074</v>
      </c>
      <c r="U26" s="4">
        <v>4.4961779289240465E-2</v>
      </c>
      <c r="V26" s="4">
        <v>1.1746093077380042</v>
      </c>
      <c r="W26" s="4">
        <v>1.2155268133279136E-2</v>
      </c>
      <c r="Z26" s="4">
        <v>2.1597244860502587E-2</v>
      </c>
      <c r="AA26" s="4">
        <v>0.99983319510728208</v>
      </c>
    </row>
    <row r="27" spans="1:27" x14ac:dyDescent="0.25">
      <c r="A27" s="4" t="s">
        <v>100</v>
      </c>
      <c r="B27" s="4" t="s">
        <v>10</v>
      </c>
      <c r="C27" s="4" t="s">
        <v>11</v>
      </c>
      <c r="D27" s="4" t="s">
        <v>6</v>
      </c>
      <c r="F27" s="4">
        <v>65</v>
      </c>
      <c r="H27" s="5" t="s">
        <v>276</v>
      </c>
      <c r="J27" s="4">
        <v>0.2</v>
      </c>
      <c r="K27" s="4">
        <v>20</v>
      </c>
      <c r="L27" s="4">
        <v>0.9</v>
      </c>
      <c r="O27" s="4">
        <v>1</v>
      </c>
      <c r="P27" s="4">
        <v>6</v>
      </c>
      <c r="Q27" s="4">
        <v>0.55700000000000005</v>
      </c>
      <c r="R27" s="4">
        <v>3.0287083223369007E-2</v>
      </c>
      <c r="S27" s="4">
        <v>6.8846836767213404E-3</v>
      </c>
      <c r="T27" s="4">
        <v>0.35041271618333497</v>
      </c>
      <c r="U27" s="4">
        <v>8.0085676233420805E-2</v>
      </c>
      <c r="V27" s="4">
        <v>1.309945138644677</v>
      </c>
      <c r="W27" s="4">
        <v>2.5400848858903244E-2</v>
      </c>
      <c r="Z27" s="4">
        <v>3.0864214428356782E-2</v>
      </c>
      <c r="AA27" s="4">
        <v>0.9996932144685623</v>
      </c>
    </row>
    <row r="28" spans="1:27" x14ac:dyDescent="0.25">
      <c r="A28" s="4" t="s">
        <v>101</v>
      </c>
      <c r="B28" s="4" t="s">
        <v>12</v>
      </c>
      <c r="C28" s="4" t="s">
        <v>13</v>
      </c>
      <c r="D28" s="4" t="s">
        <v>14</v>
      </c>
      <c r="F28" s="4">
        <v>20</v>
      </c>
      <c r="H28" s="5" t="s">
        <v>276</v>
      </c>
      <c r="J28" s="4">
        <v>0.2</v>
      </c>
      <c r="K28" s="4">
        <v>20</v>
      </c>
      <c r="L28" s="4">
        <v>0.9</v>
      </c>
      <c r="O28" s="4">
        <v>0</v>
      </c>
      <c r="P28" s="4">
        <v>7</v>
      </c>
      <c r="Q28" s="4">
        <v>0.87556979179499994</v>
      </c>
      <c r="R28" s="4">
        <v>0.20366711648087418</v>
      </c>
      <c r="S28" s="4">
        <v>9.7620458112983588E-3</v>
      </c>
      <c r="T28" s="4">
        <v>27.475742551200568</v>
      </c>
      <c r="U28" s="4">
        <v>2.0625737957024879</v>
      </c>
      <c r="V28" s="4">
        <v>0.83383255446803162</v>
      </c>
      <c r="W28" s="4">
        <v>2.3933578096656673E-2</v>
      </c>
      <c r="Z28" s="4">
        <v>5.6786440215302846E-2</v>
      </c>
      <c r="AA28" s="4">
        <v>0.99772946673731977</v>
      </c>
    </row>
    <row r="29" spans="1:27" x14ac:dyDescent="0.25">
      <c r="A29" s="4" t="s">
        <v>102</v>
      </c>
      <c r="B29" s="4" t="s">
        <v>12</v>
      </c>
      <c r="C29" s="4" t="s">
        <v>13</v>
      </c>
      <c r="D29" s="4" t="s">
        <v>14</v>
      </c>
      <c r="F29" s="4">
        <v>20</v>
      </c>
      <c r="H29" s="5" t="s">
        <v>276</v>
      </c>
      <c r="J29" s="4">
        <v>0.2</v>
      </c>
      <c r="K29" s="4">
        <v>20</v>
      </c>
      <c r="L29" s="4">
        <v>0.9</v>
      </c>
      <c r="O29" s="4">
        <v>0</v>
      </c>
      <c r="P29" s="4">
        <v>7</v>
      </c>
      <c r="Q29" s="4">
        <v>0.87556979179499994</v>
      </c>
      <c r="R29" s="4">
        <v>0.19404548717328626</v>
      </c>
      <c r="S29" s="4">
        <v>9.8639219147839113E-3</v>
      </c>
      <c r="T29" s="4">
        <v>29.041342152992609</v>
      </c>
      <c r="U29" s="4">
        <v>2.4218416667918663</v>
      </c>
      <c r="V29" s="4">
        <v>0.85290488248913354</v>
      </c>
      <c r="W29" s="4">
        <v>2.4272711472806175E-2</v>
      </c>
      <c r="Z29" s="4">
        <v>6.2313143278188578E-2</v>
      </c>
      <c r="AA29" s="4">
        <v>0.99722966473852925</v>
      </c>
    </row>
    <row r="30" spans="1:27" x14ac:dyDescent="0.25">
      <c r="A30" s="4" t="s">
        <v>103</v>
      </c>
      <c r="B30" s="4" t="s">
        <v>12</v>
      </c>
      <c r="C30" s="4" t="s">
        <v>13</v>
      </c>
      <c r="D30" s="4" t="s">
        <v>14</v>
      </c>
      <c r="F30" s="4">
        <v>20</v>
      </c>
      <c r="H30" s="5" t="s">
        <v>276</v>
      </c>
      <c r="J30" s="4">
        <v>0.2</v>
      </c>
      <c r="K30" s="4">
        <v>20</v>
      </c>
      <c r="L30" s="4">
        <v>0.9</v>
      </c>
      <c r="O30" s="4">
        <v>0</v>
      </c>
      <c r="P30" s="4">
        <v>7</v>
      </c>
      <c r="Q30" s="4">
        <v>0.87556979179499994</v>
      </c>
      <c r="R30" s="4">
        <v>0.20737963395506753</v>
      </c>
      <c r="S30" s="4">
        <v>7.5748424751748665E-3</v>
      </c>
      <c r="T30" s="4">
        <v>25.967104008918461</v>
      </c>
      <c r="U30" s="4">
        <v>1.4421183633220243</v>
      </c>
      <c r="V30" s="4">
        <v>0.82591764478170848</v>
      </c>
      <c r="W30" s="4">
        <v>1.8486396525429046E-2</v>
      </c>
      <c r="Z30" s="4">
        <v>4.2339441594969246E-2</v>
      </c>
      <c r="AA30" s="4">
        <v>0.99876563070551572</v>
      </c>
    </row>
    <row r="31" spans="1:27" x14ac:dyDescent="0.25">
      <c r="A31" s="4" t="s">
        <v>104</v>
      </c>
      <c r="B31" s="4" t="s">
        <v>12</v>
      </c>
      <c r="C31" s="4" t="s">
        <v>13</v>
      </c>
      <c r="D31" s="4" t="s">
        <v>14</v>
      </c>
      <c r="F31" s="4">
        <v>30</v>
      </c>
      <c r="H31" s="5" t="s">
        <v>276</v>
      </c>
      <c r="J31" s="4">
        <v>0.2</v>
      </c>
      <c r="K31" s="4">
        <v>20</v>
      </c>
      <c r="L31" s="4">
        <v>0.9</v>
      </c>
      <c r="O31" s="4">
        <v>0</v>
      </c>
      <c r="P31" s="4">
        <v>7</v>
      </c>
      <c r="Q31" s="4">
        <v>0.87547957779499996</v>
      </c>
      <c r="R31" s="4">
        <v>0.162101099136442</v>
      </c>
      <c r="S31" s="4">
        <v>1.9952181444381045E-2</v>
      </c>
      <c r="T31" s="4">
        <v>22.647723932468178</v>
      </c>
      <c r="U31" s="4">
        <v>4.6854312153183892</v>
      </c>
      <c r="V31" s="4">
        <v>0.89707256027703375</v>
      </c>
      <c r="W31" s="4">
        <v>4.984555217450818E-2</v>
      </c>
      <c r="Z31" s="4">
        <v>0.15180013731858175</v>
      </c>
      <c r="AA31" s="4">
        <v>0.98530002047583976</v>
      </c>
    </row>
    <row r="32" spans="1:27" x14ac:dyDescent="0.25">
      <c r="A32" s="4" t="s">
        <v>105</v>
      </c>
      <c r="B32" s="4" t="s">
        <v>12</v>
      </c>
      <c r="C32" s="4" t="s">
        <v>13</v>
      </c>
      <c r="D32" s="4" t="s">
        <v>14</v>
      </c>
      <c r="F32" s="4">
        <v>30</v>
      </c>
      <c r="H32" s="5" t="s">
        <v>276</v>
      </c>
      <c r="J32" s="4">
        <v>0.2</v>
      </c>
      <c r="K32" s="4">
        <v>20</v>
      </c>
      <c r="L32" s="4">
        <v>0.9</v>
      </c>
      <c r="O32" s="4">
        <v>0</v>
      </c>
      <c r="P32" s="4">
        <v>7</v>
      </c>
      <c r="Q32" s="4">
        <v>0.87547957779499996</v>
      </c>
      <c r="R32" s="4">
        <v>0.16009394651582093</v>
      </c>
      <c r="S32" s="4">
        <v>1.9238532429122417E-2</v>
      </c>
      <c r="T32" s="4">
        <v>21.484542102928252</v>
      </c>
      <c r="U32" s="4">
        <v>4.3306798155209343</v>
      </c>
      <c r="V32" s="4">
        <v>0.90513915956674462</v>
      </c>
      <c r="W32" s="4">
        <v>4.7076825591738251E-2</v>
      </c>
      <c r="Z32" s="4">
        <v>0.1482177428464054</v>
      </c>
      <c r="AA32" s="4">
        <v>0.98649828452541555</v>
      </c>
    </row>
    <row r="33" spans="1:27" x14ac:dyDescent="0.25">
      <c r="A33" s="4" t="s">
        <v>106</v>
      </c>
      <c r="B33" s="4" t="s">
        <v>12</v>
      </c>
      <c r="C33" s="4" t="s">
        <v>13</v>
      </c>
      <c r="D33" s="4" t="s">
        <v>14</v>
      </c>
      <c r="F33" s="4">
        <v>30</v>
      </c>
      <c r="H33" s="5" t="s">
        <v>276</v>
      </c>
      <c r="J33" s="4">
        <v>0.2</v>
      </c>
      <c r="K33" s="4">
        <v>20</v>
      </c>
      <c r="L33" s="4">
        <v>0.9</v>
      </c>
      <c r="O33" s="4">
        <v>0</v>
      </c>
      <c r="P33" s="4">
        <v>7</v>
      </c>
      <c r="Q33" s="4">
        <v>0.87547957779499996</v>
      </c>
      <c r="R33" s="4">
        <v>0.15857675875426658</v>
      </c>
      <c r="S33" s="4">
        <v>1.8571706420594601E-2</v>
      </c>
      <c r="T33" s="4">
        <v>24.673793340937216</v>
      </c>
      <c r="U33" s="4">
        <v>4.9958142702775508</v>
      </c>
      <c r="V33" s="4">
        <v>0.89951332758805758</v>
      </c>
      <c r="W33" s="4">
        <v>4.7474819863618165E-2</v>
      </c>
      <c r="Z33" s="4">
        <v>0.14744176154405572</v>
      </c>
      <c r="AA33" s="4">
        <v>0.98559583250688543</v>
      </c>
    </row>
    <row r="34" spans="1:27" x14ac:dyDescent="0.25">
      <c r="A34" s="4" t="s">
        <v>107</v>
      </c>
      <c r="B34" s="4" t="s">
        <v>12</v>
      </c>
      <c r="C34" s="4" t="s">
        <v>13</v>
      </c>
      <c r="D34" s="4" t="s">
        <v>14</v>
      </c>
      <c r="F34" s="4">
        <v>40</v>
      </c>
      <c r="H34" s="5" t="s">
        <v>276</v>
      </c>
      <c r="J34" s="4">
        <v>0.2</v>
      </c>
      <c r="K34" s="4">
        <v>20</v>
      </c>
      <c r="L34" s="4">
        <v>0.9</v>
      </c>
      <c r="O34" s="4">
        <v>0</v>
      </c>
      <c r="P34" s="4">
        <v>7</v>
      </c>
      <c r="Q34" s="4">
        <v>0.875833763795</v>
      </c>
      <c r="R34" s="4">
        <v>0.16101535182953902</v>
      </c>
      <c r="S34" s="4">
        <v>2.1651913223091363E-2</v>
      </c>
      <c r="T34" s="4">
        <v>10.805283230261901</v>
      </c>
      <c r="U34" s="4">
        <v>2.0374820099954669</v>
      </c>
      <c r="V34" s="4">
        <v>0.89612819034289903</v>
      </c>
      <c r="W34" s="4">
        <v>4.9149872308902796E-2</v>
      </c>
      <c r="Z34" s="4">
        <v>0.13783197409365566</v>
      </c>
      <c r="AA34" s="4">
        <v>0.99081279724982207</v>
      </c>
    </row>
    <row r="35" spans="1:27" x14ac:dyDescent="0.25">
      <c r="A35" s="4" t="s">
        <v>108</v>
      </c>
      <c r="B35" s="4" t="s">
        <v>12</v>
      </c>
      <c r="C35" s="4" t="s">
        <v>13</v>
      </c>
      <c r="D35" s="4" t="s">
        <v>14</v>
      </c>
      <c r="F35" s="4">
        <v>40</v>
      </c>
      <c r="H35" s="5" t="s">
        <v>276</v>
      </c>
      <c r="J35" s="4">
        <v>0.2</v>
      </c>
      <c r="K35" s="4">
        <v>20</v>
      </c>
      <c r="L35" s="4">
        <v>0.9</v>
      </c>
      <c r="O35" s="4">
        <v>0</v>
      </c>
      <c r="P35" s="4">
        <v>7</v>
      </c>
      <c r="Q35" s="4">
        <v>0.875833763795</v>
      </c>
      <c r="R35" s="4">
        <v>0.16478220470951849</v>
      </c>
      <c r="S35" s="4">
        <v>2.9109746979206645E-2</v>
      </c>
      <c r="T35" s="4">
        <v>9.2939656067504295</v>
      </c>
      <c r="U35" s="4">
        <v>2.1792139519699414</v>
      </c>
      <c r="V35" s="4">
        <v>0.8880055092561473</v>
      </c>
      <c r="W35" s="4">
        <v>6.4590387213214584E-2</v>
      </c>
      <c r="Z35" s="4">
        <v>0.17023420947353574</v>
      </c>
      <c r="AA35" s="4">
        <v>0.9867501436520415</v>
      </c>
    </row>
    <row r="36" spans="1:27" x14ac:dyDescent="0.25">
      <c r="A36" s="4" t="s">
        <v>109</v>
      </c>
      <c r="B36" s="4" t="s">
        <v>12</v>
      </c>
      <c r="C36" s="4" t="s">
        <v>13</v>
      </c>
      <c r="D36" s="4" t="s">
        <v>14</v>
      </c>
      <c r="F36" s="4">
        <v>40</v>
      </c>
      <c r="H36" s="5" t="s">
        <v>276</v>
      </c>
      <c r="J36" s="4">
        <v>0.2</v>
      </c>
      <c r="K36" s="4">
        <v>20</v>
      </c>
      <c r="L36" s="4">
        <v>0.9</v>
      </c>
      <c r="O36" s="4">
        <v>0</v>
      </c>
      <c r="P36" s="4">
        <v>7</v>
      </c>
      <c r="Q36" s="4">
        <v>0.875833763795</v>
      </c>
      <c r="R36" s="4">
        <v>0.15934008556058343</v>
      </c>
      <c r="S36" s="4">
        <v>2.1995414587900233E-2</v>
      </c>
      <c r="T36" s="4">
        <v>12.739959491205278</v>
      </c>
      <c r="U36" s="4">
        <v>2.6068004380451284</v>
      </c>
      <c r="V36" s="4">
        <v>0.90234879334353035</v>
      </c>
      <c r="W36" s="4">
        <v>5.0679041109140427E-2</v>
      </c>
      <c r="Z36" s="4">
        <v>0.14983932151035675</v>
      </c>
      <c r="AA36" s="4">
        <v>0.98836646526578187</v>
      </c>
    </row>
    <row r="37" spans="1:27" x14ac:dyDescent="0.25">
      <c r="A37" s="4" t="s">
        <v>110</v>
      </c>
      <c r="B37" s="4" t="s">
        <v>12</v>
      </c>
      <c r="C37" s="4" t="s">
        <v>13</v>
      </c>
      <c r="D37" s="4" t="s">
        <v>14</v>
      </c>
      <c r="F37" s="4">
        <v>50</v>
      </c>
      <c r="H37" s="5" t="s">
        <v>276</v>
      </c>
      <c r="J37" s="4">
        <v>0.2</v>
      </c>
      <c r="K37" s="4">
        <v>20</v>
      </c>
      <c r="L37" s="4">
        <v>0.9</v>
      </c>
      <c r="O37" s="4">
        <v>0</v>
      </c>
      <c r="P37" s="4">
        <v>7</v>
      </c>
      <c r="Q37" s="4">
        <v>0.87663234979500004</v>
      </c>
      <c r="R37" s="4">
        <v>0.20019720521924195</v>
      </c>
      <c r="S37" s="4">
        <v>1.2860508879403709E-2</v>
      </c>
      <c r="T37" s="4">
        <v>4.4303732671170923</v>
      </c>
      <c r="U37" s="4">
        <v>0.2903343542587819</v>
      </c>
      <c r="V37" s="4">
        <v>0.83978400128558761</v>
      </c>
      <c r="W37" s="4">
        <v>2.2369537909474563E-2</v>
      </c>
      <c r="Z37" s="4">
        <v>4.1079364869357107E-2</v>
      </c>
      <c r="AA37" s="4">
        <v>0.99939147136913054</v>
      </c>
    </row>
    <row r="38" spans="1:27" x14ac:dyDescent="0.25">
      <c r="A38" s="4" t="s">
        <v>111</v>
      </c>
      <c r="B38" s="4" t="s">
        <v>12</v>
      </c>
      <c r="C38" s="4" t="s">
        <v>13</v>
      </c>
      <c r="D38" s="4" t="s">
        <v>14</v>
      </c>
      <c r="F38" s="4">
        <v>50</v>
      </c>
      <c r="H38" s="5" t="s">
        <v>276</v>
      </c>
      <c r="J38" s="4">
        <v>0.2</v>
      </c>
      <c r="K38" s="4">
        <v>20</v>
      </c>
      <c r="L38" s="4">
        <v>0.9</v>
      </c>
      <c r="O38" s="4">
        <v>0</v>
      </c>
      <c r="P38" s="4">
        <v>7</v>
      </c>
      <c r="Q38" s="4">
        <v>0.87663234979500004</v>
      </c>
      <c r="R38" s="4">
        <v>0.20898758674389886</v>
      </c>
      <c r="S38" s="4">
        <v>5.1012649095360775E-2</v>
      </c>
      <c r="T38" s="4">
        <v>4.0081945235508645</v>
      </c>
      <c r="U38" s="4">
        <v>0.9611562151169043</v>
      </c>
      <c r="V38" s="4">
        <v>0.83206807607132971</v>
      </c>
      <c r="W38" s="4">
        <v>8.3935200482101888E-2</v>
      </c>
      <c r="Z38" s="4">
        <v>0.14498319425018727</v>
      </c>
      <c r="AA38" s="4">
        <v>0.99283338327557447</v>
      </c>
    </row>
    <row r="39" spans="1:27" x14ac:dyDescent="0.25">
      <c r="A39" s="4" t="s">
        <v>112</v>
      </c>
      <c r="B39" s="4" t="s">
        <v>12</v>
      </c>
      <c r="C39" s="4" t="s">
        <v>13</v>
      </c>
      <c r="D39" s="4" t="s">
        <v>14</v>
      </c>
      <c r="F39" s="4">
        <v>50</v>
      </c>
      <c r="H39" s="5" t="s">
        <v>276</v>
      </c>
      <c r="J39" s="4">
        <v>0.2</v>
      </c>
      <c r="K39" s="4">
        <v>20</v>
      </c>
      <c r="L39" s="4">
        <v>0.9</v>
      </c>
      <c r="O39" s="4">
        <v>0</v>
      </c>
      <c r="P39" s="4">
        <v>7</v>
      </c>
      <c r="Q39" s="4">
        <v>0.87663234979500004</v>
      </c>
      <c r="R39" s="4">
        <v>0.22465103703120179</v>
      </c>
      <c r="S39" s="4">
        <v>2.668977391374365E-2</v>
      </c>
      <c r="T39" s="4">
        <v>3.5337175689897493</v>
      </c>
      <c r="U39" s="4">
        <v>0.38319359350915877</v>
      </c>
      <c r="V39" s="4">
        <v>0.80882081771509917</v>
      </c>
      <c r="W39" s="4">
        <v>4.0966193247944024E-2</v>
      </c>
      <c r="Z39" s="4">
        <v>6.1520555583392644E-2</v>
      </c>
      <c r="AA39" s="4">
        <v>0.99873361932773663</v>
      </c>
    </row>
    <row r="40" spans="1:27" x14ac:dyDescent="0.25">
      <c r="A40" s="4" t="s">
        <v>113</v>
      </c>
      <c r="B40" s="4" t="s">
        <v>12</v>
      </c>
      <c r="C40" s="4" t="s">
        <v>13</v>
      </c>
      <c r="D40" s="4" t="s">
        <v>14</v>
      </c>
      <c r="F40" s="4">
        <v>60</v>
      </c>
      <c r="H40" s="5" t="s">
        <v>276</v>
      </c>
      <c r="J40" s="4">
        <v>0.2</v>
      </c>
      <c r="K40" s="4">
        <v>20</v>
      </c>
      <c r="L40" s="4">
        <v>0.9</v>
      </c>
      <c r="O40" s="4">
        <v>0</v>
      </c>
      <c r="P40" s="4">
        <v>7</v>
      </c>
      <c r="Q40" s="4">
        <v>0.87787533579499999</v>
      </c>
      <c r="R40" s="4">
        <v>0.10966412088668351</v>
      </c>
      <c r="S40" s="4">
        <v>2.7419422422438191E-2</v>
      </c>
      <c r="T40" s="4">
        <v>10.217586223901087</v>
      </c>
      <c r="U40" s="4">
        <v>4.242448582809657</v>
      </c>
      <c r="V40" s="4">
        <v>0.97248399899420868</v>
      </c>
      <c r="W40" s="4">
        <v>6.4386338851396954E-2</v>
      </c>
      <c r="Z40" s="4">
        <v>0.29429044957830386</v>
      </c>
      <c r="AA40" s="4">
        <v>0.95891475983186691</v>
      </c>
    </row>
    <row r="41" spans="1:27" x14ac:dyDescent="0.25">
      <c r="A41" s="4" t="s">
        <v>114</v>
      </c>
      <c r="B41" s="4" t="s">
        <v>12</v>
      </c>
      <c r="C41" s="4" t="s">
        <v>13</v>
      </c>
      <c r="D41" s="4" t="s">
        <v>14</v>
      </c>
      <c r="F41" s="4">
        <v>60</v>
      </c>
      <c r="H41" s="5" t="s">
        <v>276</v>
      </c>
      <c r="J41" s="4">
        <v>0.2</v>
      </c>
      <c r="K41" s="4">
        <v>20</v>
      </c>
      <c r="L41" s="4">
        <v>0.9</v>
      </c>
      <c r="O41" s="4">
        <v>0</v>
      </c>
      <c r="P41" s="4">
        <v>7</v>
      </c>
      <c r="Q41" s="4">
        <v>0.87787533579499999</v>
      </c>
      <c r="R41" s="4">
        <v>0.11654653802136421</v>
      </c>
      <c r="S41" s="4">
        <v>1.9872640565298659E-2</v>
      </c>
      <c r="T41" s="4">
        <v>9.3559847644322627</v>
      </c>
      <c r="U41" s="4">
        <v>2.5296147296311302</v>
      </c>
      <c r="V41" s="4">
        <v>0.95999901085958395</v>
      </c>
      <c r="W41" s="4">
        <v>4.6188027791965403E-2</v>
      </c>
      <c r="Z41" s="4">
        <v>0.1912483474174792</v>
      </c>
      <c r="AA41" s="4">
        <v>0.98281248620920147</v>
      </c>
    </row>
    <row r="42" spans="1:27" x14ac:dyDescent="0.25">
      <c r="A42" s="4" t="s">
        <v>115</v>
      </c>
      <c r="B42" s="4" t="s">
        <v>12</v>
      </c>
      <c r="C42" s="4" t="s">
        <v>13</v>
      </c>
      <c r="D42" s="4" t="s">
        <v>14</v>
      </c>
      <c r="F42" s="4">
        <v>60</v>
      </c>
      <c r="H42" s="5" t="s">
        <v>276</v>
      </c>
      <c r="J42" s="4">
        <v>0.2</v>
      </c>
      <c r="K42" s="4">
        <v>20</v>
      </c>
      <c r="L42" s="4">
        <v>0.9</v>
      </c>
      <c r="O42" s="4">
        <v>1</v>
      </c>
      <c r="P42" s="4">
        <v>7</v>
      </c>
      <c r="Q42" s="4">
        <v>0.87787533579499999</v>
      </c>
      <c r="R42" s="4">
        <v>0.10745053316086843</v>
      </c>
      <c r="S42" s="4">
        <v>3.3378344994683888E-2</v>
      </c>
      <c r="T42" s="4">
        <v>10.984768902662283</v>
      </c>
      <c r="U42" s="4">
        <v>5.8197194673549291</v>
      </c>
      <c r="V42" s="4">
        <v>0.97649287472137614</v>
      </c>
      <c r="W42" s="4">
        <v>7.9037597624971756E-2</v>
      </c>
      <c r="Z42" s="4">
        <v>0.3749659329740142</v>
      </c>
      <c r="AA42" s="4">
        <v>0.93242465341645575</v>
      </c>
    </row>
    <row r="43" spans="1:27" x14ac:dyDescent="0.25">
      <c r="A43" s="4" t="s">
        <v>116</v>
      </c>
      <c r="B43" s="4" t="s">
        <v>15</v>
      </c>
      <c r="C43" s="4" t="s">
        <v>16</v>
      </c>
      <c r="D43" s="4" t="s">
        <v>14</v>
      </c>
      <c r="F43" s="4">
        <v>20</v>
      </c>
      <c r="H43" s="5" t="s">
        <v>276</v>
      </c>
      <c r="J43" s="4">
        <v>0.2</v>
      </c>
      <c r="K43" s="4">
        <v>20</v>
      </c>
      <c r="L43" s="4">
        <v>0.9</v>
      </c>
      <c r="O43" s="4">
        <v>2</v>
      </c>
      <c r="P43" s="4">
        <v>9</v>
      </c>
      <c r="Q43" s="4">
        <v>0.72699999999999998</v>
      </c>
      <c r="R43" s="4">
        <v>82.837309018434681</v>
      </c>
      <c r="S43" s="4">
        <v>16751160.438068274</v>
      </c>
      <c r="T43" s="4">
        <v>1.182780251281693E-3</v>
      </c>
      <c r="U43" s="4">
        <v>239.03814027683308</v>
      </c>
      <c r="V43" s="4">
        <v>0.93308537601744157</v>
      </c>
      <c r="W43" s="4">
        <v>111.34319933104267</v>
      </c>
      <c r="Z43" s="4">
        <v>0.52728347310856438</v>
      </c>
      <c r="AA43" s="4">
        <v>0.91315921403084721</v>
      </c>
    </row>
    <row r="44" spans="1:27" x14ac:dyDescent="0.25">
      <c r="A44" s="4" t="s">
        <v>117</v>
      </c>
      <c r="B44" s="4" t="s">
        <v>15</v>
      </c>
      <c r="C44" s="4" t="s">
        <v>16</v>
      </c>
      <c r="D44" s="4" t="s">
        <v>14</v>
      </c>
      <c r="F44" s="4">
        <v>20</v>
      </c>
      <c r="H44" s="5" t="s">
        <v>276</v>
      </c>
      <c r="J44" s="4">
        <v>0.2</v>
      </c>
      <c r="K44" s="4">
        <v>20</v>
      </c>
      <c r="L44" s="4">
        <v>0.9</v>
      </c>
      <c r="O44" s="4">
        <v>1</v>
      </c>
      <c r="P44" s="4">
        <v>9</v>
      </c>
      <c r="Q44" s="4">
        <v>0.72699999999999998</v>
      </c>
      <c r="R44" s="4">
        <v>0.15423627713536758</v>
      </c>
      <c r="S44" s="4">
        <v>3.1101644686070601E-2</v>
      </c>
      <c r="T44" s="4">
        <v>1.3564400970620769</v>
      </c>
      <c r="U44" s="4">
        <v>0.4321697725443025</v>
      </c>
      <c r="V44" s="4">
        <v>1.0911715127462829</v>
      </c>
      <c r="W44" s="4">
        <v>2.2917790645169672E-2</v>
      </c>
      <c r="Z44" s="4">
        <v>0.15817627987456143</v>
      </c>
      <c r="AA44" s="4">
        <v>0.9865950373993797</v>
      </c>
    </row>
    <row r="45" spans="1:27" x14ac:dyDescent="0.25">
      <c r="A45" s="4" t="s">
        <v>118</v>
      </c>
      <c r="B45" s="4" t="s">
        <v>15</v>
      </c>
      <c r="C45" s="4" t="s">
        <v>16</v>
      </c>
      <c r="D45" s="4" t="s">
        <v>14</v>
      </c>
      <c r="F45" s="4">
        <v>35</v>
      </c>
      <c r="H45" s="5" t="s">
        <v>276</v>
      </c>
      <c r="J45" s="4">
        <v>0.2</v>
      </c>
      <c r="K45" s="4">
        <v>20</v>
      </c>
      <c r="L45" s="4">
        <v>0.9</v>
      </c>
      <c r="O45" s="4">
        <v>1</v>
      </c>
      <c r="P45" s="4">
        <v>9</v>
      </c>
      <c r="Q45" s="4">
        <v>0.72699999999999998</v>
      </c>
      <c r="R45" s="4">
        <v>0.12737242221970424</v>
      </c>
      <c r="S45" s="4">
        <v>3.4387124381591715E-2</v>
      </c>
      <c r="T45" s="4">
        <v>1.6122013221429119</v>
      </c>
      <c r="U45" s="4">
        <v>0.62565961552604343</v>
      </c>
      <c r="V45" s="4">
        <v>1.0294865751143836</v>
      </c>
      <c r="W45" s="4">
        <v>4.5551651272386411E-2</v>
      </c>
      <c r="Z45" s="4">
        <v>0.16003352641253635</v>
      </c>
      <c r="AA45" s="4">
        <v>0.98127691210179713</v>
      </c>
    </row>
    <row r="46" spans="1:27" x14ac:dyDescent="0.25">
      <c r="A46" s="4" t="s">
        <v>119</v>
      </c>
      <c r="B46" s="4" t="s">
        <v>15</v>
      </c>
      <c r="C46" s="4" t="s">
        <v>16</v>
      </c>
      <c r="D46" s="4" t="s">
        <v>14</v>
      </c>
      <c r="F46" s="4">
        <v>35</v>
      </c>
      <c r="H46" s="5" t="s">
        <v>276</v>
      </c>
      <c r="J46" s="4">
        <v>0.2</v>
      </c>
      <c r="K46" s="4">
        <v>20</v>
      </c>
      <c r="L46" s="4">
        <v>0.9</v>
      </c>
      <c r="O46" s="4">
        <v>1</v>
      </c>
      <c r="P46" s="4">
        <v>9</v>
      </c>
      <c r="Q46" s="4">
        <v>0.72699999999999998</v>
      </c>
      <c r="R46" s="4">
        <v>0.13217460752898519</v>
      </c>
      <c r="S46" s="4">
        <v>3.1422684073314361E-2</v>
      </c>
      <c r="T46" s="4">
        <v>1.6013610741946744</v>
      </c>
      <c r="U46" s="4">
        <v>0.56213795848842174</v>
      </c>
      <c r="V46" s="4">
        <v>1.042021974381153</v>
      </c>
      <c r="W46" s="4">
        <v>3.7947551646263816E-2</v>
      </c>
      <c r="Z46" s="4">
        <v>0.1499674178782604</v>
      </c>
      <c r="AA46" s="4">
        <v>0.9842757429005673</v>
      </c>
    </row>
    <row r="47" spans="1:27" x14ac:dyDescent="0.25">
      <c r="A47" s="4" t="s">
        <v>120</v>
      </c>
      <c r="B47" s="4" t="s">
        <v>15</v>
      </c>
      <c r="C47" s="4" t="s">
        <v>16</v>
      </c>
      <c r="D47" s="4" t="s">
        <v>14</v>
      </c>
      <c r="F47" s="4">
        <v>50</v>
      </c>
      <c r="H47" s="5" t="s">
        <v>276</v>
      </c>
      <c r="J47" s="4">
        <v>0.2</v>
      </c>
      <c r="K47" s="4">
        <v>20</v>
      </c>
      <c r="L47" s="4">
        <v>0.9</v>
      </c>
      <c r="O47" s="4">
        <v>0</v>
      </c>
      <c r="P47" s="4">
        <v>9</v>
      </c>
      <c r="Q47" s="4">
        <v>0.72699999999999998</v>
      </c>
      <c r="R47" s="4">
        <v>0.11685738541473155</v>
      </c>
      <c r="S47" s="4">
        <v>3.1214401740640368E-2</v>
      </c>
      <c r="T47" s="4">
        <v>1.6464303812641938</v>
      </c>
      <c r="U47" s="4">
        <v>0.51620057751315962</v>
      </c>
      <c r="V47" s="4">
        <v>0.92635653504736715</v>
      </c>
      <c r="W47" s="4">
        <v>6.0023955902106851E-2</v>
      </c>
      <c r="Z47" s="4">
        <v>9.9848583776609767E-2</v>
      </c>
      <c r="AA47" s="4">
        <v>0.9902485760595735</v>
      </c>
    </row>
    <row r="48" spans="1:27" x14ac:dyDescent="0.25">
      <c r="A48" s="4" t="s">
        <v>121</v>
      </c>
      <c r="B48" s="4" t="s">
        <v>15</v>
      </c>
      <c r="C48" s="4" t="s">
        <v>16</v>
      </c>
      <c r="D48" s="4" t="s">
        <v>14</v>
      </c>
      <c r="F48" s="4">
        <v>50</v>
      </c>
      <c r="H48" s="5" t="s">
        <v>276</v>
      </c>
      <c r="J48" s="4">
        <v>0.2</v>
      </c>
      <c r="K48" s="4">
        <v>20</v>
      </c>
      <c r="L48" s="4">
        <v>0.9</v>
      </c>
      <c r="O48" s="4">
        <v>0</v>
      </c>
      <c r="P48" s="4">
        <v>9</v>
      </c>
      <c r="Q48" s="4">
        <v>0.72699999999999998</v>
      </c>
      <c r="R48" s="4">
        <v>0.12739565383283313</v>
      </c>
      <c r="S48" s="4">
        <v>4.9673252370954477E-2</v>
      </c>
      <c r="T48" s="4">
        <v>1.3184975225596838</v>
      </c>
      <c r="U48" s="4">
        <v>0.57618055476861818</v>
      </c>
      <c r="V48" s="4">
        <v>0.93734829057617686</v>
      </c>
      <c r="W48" s="4">
        <v>7.910085309949122E-2</v>
      </c>
      <c r="Z48" s="4">
        <v>0.13009916541842287</v>
      </c>
      <c r="AA48" s="4">
        <v>0.98552691064099029</v>
      </c>
    </row>
    <row r="49" spans="1:27" x14ac:dyDescent="0.25">
      <c r="A49" s="4" t="s">
        <v>122</v>
      </c>
      <c r="B49" s="4" t="s">
        <v>17</v>
      </c>
      <c r="C49" s="4" t="s">
        <v>18</v>
      </c>
      <c r="D49" s="4" t="s">
        <v>14</v>
      </c>
      <c r="F49" s="4">
        <v>20</v>
      </c>
      <c r="H49" s="5" t="s">
        <v>276</v>
      </c>
      <c r="J49" s="4">
        <v>0.2</v>
      </c>
      <c r="K49" s="4">
        <v>20</v>
      </c>
      <c r="L49" s="4">
        <v>0.9</v>
      </c>
      <c r="O49" s="4">
        <v>2</v>
      </c>
      <c r="P49" s="4">
        <v>6</v>
      </c>
      <c r="Q49" s="4">
        <v>0.83399999999999996</v>
      </c>
      <c r="R49" s="4">
        <v>4.9019929989819105E-2</v>
      </c>
      <c r="S49" s="4">
        <v>4.5672788851916415E-3</v>
      </c>
      <c r="T49" s="4">
        <v>439395328.54039782</v>
      </c>
      <c r="U49" s="4">
        <v>1354001792488169.5</v>
      </c>
      <c r="V49" s="4">
        <v>0.89977669275785843</v>
      </c>
      <c r="W49" s="4">
        <v>3.7549062491963721E-2</v>
      </c>
      <c r="Z49" s="4">
        <v>0.11313757764485236</v>
      </c>
      <c r="AA49" s="4">
        <v>0.96266267250328752</v>
      </c>
    </row>
    <row r="50" spans="1:27" x14ac:dyDescent="0.25">
      <c r="A50" s="4" t="s">
        <v>123</v>
      </c>
      <c r="B50" s="4" t="s">
        <v>17</v>
      </c>
      <c r="C50" s="4" t="s">
        <v>18</v>
      </c>
      <c r="D50" s="4" t="s">
        <v>14</v>
      </c>
      <c r="F50" s="4">
        <v>20</v>
      </c>
      <c r="H50" s="5" t="s">
        <v>276</v>
      </c>
      <c r="J50" s="4">
        <v>0.2</v>
      </c>
      <c r="K50" s="4">
        <v>20</v>
      </c>
      <c r="L50" s="4">
        <v>0.9</v>
      </c>
      <c r="O50" s="4">
        <v>2</v>
      </c>
      <c r="P50" s="4">
        <v>6</v>
      </c>
      <c r="Q50" s="4">
        <v>0.83399999999999996</v>
      </c>
      <c r="R50" s="4">
        <v>4.8661133918309327E-2</v>
      </c>
      <c r="S50" s="4">
        <v>4.2040279121989006E-3</v>
      </c>
      <c r="T50" s="4">
        <v>367544985.87884182</v>
      </c>
      <c r="U50" s="4">
        <v>877492343553514.38</v>
      </c>
      <c r="V50" s="4">
        <v>0.90232050555729726</v>
      </c>
      <c r="W50" s="4">
        <v>3.4605324614053662E-2</v>
      </c>
      <c r="Z50" s="4">
        <v>0.10578038926880191</v>
      </c>
      <c r="AA50" s="4">
        <v>0.96784214095565302</v>
      </c>
    </row>
    <row r="51" spans="1:27" x14ac:dyDescent="0.25">
      <c r="A51" s="4" t="s">
        <v>124</v>
      </c>
      <c r="B51" s="4" t="s">
        <v>17</v>
      </c>
      <c r="C51" s="4" t="s">
        <v>18</v>
      </c>
      <c r="D51" s="4" t="s">
        <v>14</v>
      </c>
      <c r="F51" s="4">
        <v>45</v>
      </c>
      <c r="H51" s="5" t="s">
        <v>276</v>
      </c>
      <c r="J51" s="4">
        <v>0.2</v>
      </c>
      <c r="K51" s="4">
        <v>20</v>
      </c>
      <c r="L51" s="4">
        <v>0.9</v>
      </c>
      <c r="O51" s="4">
        <v>2</v>
      </c>
      <c r="P51" s="4">
        <v>6</v>
      </c>
      <c r="Q51" s="4">
        <v>0.82910000000000006</v>
      </c>
      <c r="R51" s="4">
        <v>3.9749233937680727E-2</v>
      </c>
      <c r="S51" s="4">
        <v>2.0774137862039003E-3</v>
      </c>
      <c r="T51" s="4">
        <v>96655462.53167066</v>
      </c>
      <c r="U51" s="4">
        <v>46386696211876.781</v>
      </c>
      <c r="V51" s="4">
        <v>0.94551164706894009</v>
      </c>
      <c r="W51" s="4">
        <v>1.7050434664403164E-2</v>
      </c>
      <c r="Z51" s="4">
        <v>6.5728197606274769E-2</v>
      </c>
      <c r="AA51" s="4">
        <v>0.99036957636280776</v>
      </c>
    </row>
    <row r="52" spans="1:27" x14ac:dyDescent="0.25">
      <c r="A52" s="4" t="s">
        <v>125</v>
      </c>
      <c r="B52" s="4" t="s">
        <v>17</v>
      </c>
      <c r="C52" s="4" t="s">
        <v>18</v>
      </c>
      <c r="D52" s="4" t="s">
        <v>14</v>
      </c>
      <c r="F52" s="4">
        <v>45</v>
      </c>
      <c r="H52" s="5" t="s">
        <v>276</v>
      </c>
      <c r="J52" s="4">
        <v>0.2</v>
      </c>
      <c r="K52" s="4">
        <v>20</v>
      </c>
      <c r="L52" s="4">
        <v>0.9</v>
      </c>
      <c r="O52" s="4">
        <v>2</v>
      </c>
      <c r="P52" s="4">
        <v>6</v>
      </c>
      <c r="Q52" s="4">
        <v>0.82910000000000006</v>
      </c>
      <c r="R52" s="4">
        <v>3.9912922713215178E-2</v>
      </c>
      <c r="S52" s="4">
        <v>2.2155887586049537E-3</v>
      </c>
      <c r="T52" s="4">
        <v>177646682.58240327</v>
      </c>
      <c r="U52" s="4">
        <v>166069716416237.59</v>
      </c>
      <c r="V52" s="4">
        <v>0.94400598362982147</v>
      </c>
      <c r="W52" s="4">
        <v>1.8180730591591494E-2</v>
      </c>
      <c r="Z52" s="4">
        <v>6.9240719322842481E-2</v>
      </c>
      <c r="AA52" s="4">
        <v>0.98918813445942166</v>
      </c>
    </row>
    <row r="53" spans="1:27" x14ac:dyDescent="0.25">
      <c r="A53" s="4" t="s">
        <v>126</v>
      </c>
      <c r="B53" s="4" t="s">
        <v>17</v>
      </c>
      <c r="C53" s="4" t="s">
        <v>18</v>
      </c>
      <c r="D53" s="4" t="s">
        <v>14</v>
      </c>
      <c r="F53" s="4">
        <v>50</v>
      </c>
      <c r="H53" s="5" t="s">
        <v>276</v>
      </c>
      <c r="J53" s="4">
        <v>0.2</v>
      </c>
      <c r="K53" s="4">
        <v>20</v>
      </c>
      <c r="L53" s="4">
        <v>0.9</v>
      </c>
      <c r="O53" s="4">
        <v>2</v>
      </c>
      <c r="P53" s="4">
        <v>6</v>
      </c>
      <c r="Q53" s="4">
        <v>0.82709999999999995</v>
      </c>
      <c r="R53" s="4">
        <v>3.5386441110484744E-2</v>
      </c>
      <c r="S53" s="4">
        <v>2.6005209327921398E-3</v>
      </c>
      <c r="T53" s="4">
        <v>567877840.35145116</v>
      </c>
      <c r="U53" s="4">
        <v>2389271802338312.5</v>
      </c>
      <c r="V53" s="4">
        <v>0.92284077383690089</v>
      </c>
      <c r="W53" s="4">
        <v>2.5675073392665788E-2</v>
      </c>
      <c r="Z53" s="4">
        <v>8.89084932820976E-2</v>
      </c>
      <c r="AA53" s="4">
        <v>0.97992637637575719</v>
      </c>
    </row>
    <row r="54" spans="1:27" x14ac:dyDescent="0.25">
      <c r="A54" s="4" t="s">
        <v>127</v>
      </c>
      <c r="B54" s="4" t="s">
        <v>17</v>
      </c>
      <c r="C54" s="4" t="s">
        <v>18</v>
      </c>
      <c r="D54" s="4" t="s">
        <v>14</v>
      </c>
      <c r="F54" s="4">
        <v>50</v>
      </c>
      <c r="H54" s="5" t="s">
        <v>276</v>
      </c>
      <c r="J54" s="4">
        <v>0.2</v>
      </c>
      <c r="K54" s="4">
        <v>20</v>
      </c>
      <c r="L54" s="4">
        <v>0.9</v>
      </c>
      <c r="O54" s="4">
        <v>2</v>
      </c>
      <c r="P54" s="4">
        <v>6</v>
      </c>
      <c r="Q54" s="4">
        <v>0.82709999999999995</v>
      </c>
      <c r="R54" s="4">
        <v>3.5691652852844265E-2</v>
      </c>
      <c r="S54" s="4">
        <v>2.7304489133059733E-3</v>
      </c>
      <c r="T54" s="4">
        <v>563042377.74963081</v>
      </c>
      <c r="U54" s="4">
        <v>2436758829708429</v>
      </c>
      <c r="V54" s="4">
        <v>0.92030147671891982</v>
      </c>
      <c r="W54" s="4">
        <v>2.6551158446048103E-2</v>
      </c>
      <c r="Z54" s="4">
        <v>8.9656312768488095E-2</v>
      </c>
      <c r="AA54" s="4">
        <v>0.97929567396001305</v>
      </c>
    </row>
    <row r="55" spans="1:27" x14ac:dyDescent="0.25">
      <c r="A55" s="4" t="s">
        <v>128</v>
      </c>
      <c r="B55" s="4" t="s">
        <v>19</v>
      </c>
      <c r="C55" s="4" t="s">
        <v>20</v>
      </c>
      <c r="D55" s="4" t="s">
        <v>6</v>
      </c>
      <c r="F55" s="4">
        <v>40</v>
      </c>
      <c r="H55" s="5" t="s">
        <v>276</v>
      </c>
      <c r="J55" s="4">
        <v>0.2</v>
      </c>
      <c r="K55" s="4">
        <v>20</v>
      </c>
      <c r="L55" s="4">
        <v>0.9</v>
      </c>
      <c r="O55" s="4">
        <v>1</v>
      </c>
      <c r="P55" s="4">
        <v>6</v>
      </c>
      <c r="Q55" s="4">
        <v>0.69000000000000006</v>
      </c>
      <c r="R55" s="4">
        <v>6.1898504425198168E-2</v>
      </c>
      <c r="S55" s="4">
        <v>8.5041295552397925E-3</v>
      </c>
      <c r="T55" s="4">
        <v>57.996780534898726</v>
      </c>
      <c r="U55" s="4">
        <v>126.99340218630267</v>
      </c>
      <c r="V55" s="4">
        <v>1.1452288783512137</v>
      </c>
      <c r="W55" s="4">
        <v>2.3802116598212977E-2</v>
      </c>
      <c r="Z55" s="4">
        <v>0.16172314902380022</v>
      </c>
      <c r="AA55" s="4">
        <v>0.97040329689263805</v>
      </c>
    </row>
    <row r="56" spans="1:27" x14ac:dyDescent="0.25">
      <c r="A56" s="4" t="s">
        <v>129</v>
      </c>
      <c r="B56" s="4" t="s">
        <v>19</v>
      </c>
      <c r="C56" s="4" t="s">
        <v>20</v>
      </c>
      <c r="D56" s="4" t="s">
        <v>6</v>
      </c>
      <c r="F56" s="4">
        <v>60</v>
      </c>
      <c r="H56" s="5" t="s">
        <v>276</v>
      </c>
      <c r="J56" s="4">
        <v>0.2</v>
      </c>
      <c r="K56" s="4">
        <v>20</v>
      </c>
      <c r="L56" s="4">
        <v>0.9</v>
      </c>
      <c r="O56" s="4">
        <v>1</v>
      </c>
      <c r="P56" s="4">
        <v>7</v>
      </c>
      <c r="Q56" s="4">
        <v>0.69299999999999995</v>
      </c>
      <c r="R56" s="4">
        <v>3.4391309764038397E-2</v>
      </c>
      <c r="S56" s="4">
        <v>6.5792836006619898E-3</v>
      </c>
      <c r="T56" s="4">
        <v>301.94674004429027</v>
      </c>
      <c r="U56" s="4">
        <v>4977.6350591909722</v>
      </c>
      <c r="V56" s="4">
        <v>1.1719128794369083</v>
      </c>
      <c r="W56" s="4">
        <v>2.7728057278922472E-2</v>
      </c>
      <c r="Z56" s="4">
        <v>0.27799112336961829</v>
      </c>
      <c r="AA56" s="4">
        <v>0.91500618082411544</v>
      </c>
    </row>
    <row r="57" spans="1:27" x14ac:dyDescent="0.25">
      <c r="A57" s="4" t="s">
        <v>130</v>
      </c>
      <c r="B57" s="4" t="s">
        <v>19</v>
      </c>
      <c r="C57" s="4" t="s">
        <v>20</v>
      </c>
      <c r="D57" s="4" t="s">
        <v>6</v>
      </c>
      <c r="F57" s="4">
        <v>80</v>
      </c>
      <c r="H57" s="5" t="s">
        <v>276</v>
      </c>
      <c r="J57" s="4">
        <v>0.2</v>
      </c>
      <c r="K57" s="4">
        <v>20</v>
      </c>
      <c r="L57" s="4">
        <v>0.9</v>
      </c>
      <c r="O57" s="4">
        <v>1</v>
      </c>
      <c r="P57" s="4">
        <v>7</v>
      </c>
      <c r="Q57" s="4">
        <v>0.68390000000000006</v>
      </c>
      <c r="R57" s="4">
        <v>7.8247490596935698E-2</v>
      </c>
      <c r="S57" s="4">
        <v>0.16606545925736643</v>
      </c>
      <c r="T57" s="4">
        <v>0.56669828183015736</v>
      </c>
      <c r="U57" s="4">
        <v>1.1160760333037154</v>
      </c>
      <c r="V57" s="4">
        <v>0.94735503874254712</v>
      </c>
      <c r="W57" s="4">
        <v>0.32294633742561624</v>
      </c>
      <c r="Z57" s="4">
        <v>0.23682660168514982</v>
      </c>
      <c r="AA57" s="4">
        <v>0.96914462830074233</v>
      </c>
    </row>
    <row r="58" spans="1:27" x14ac:dyDescent="0.25">
      <c r="A58" s="4" t="s">
        <v>131</v>
      </c>
      <c r="B58" s="4" t="s">
        <v>19</v>
      </c>
      <c r="D58" s="4" t="s">
        <v>6</v>
      </c>
      <c r="F58" s="4">
        <v>40</v>
      </c>
      <c r="H58" s="5" t="s">
        <v>276</v>
      </c>
      <c r="J58" s="4">
        <v>0.2</v>
      </c>
      <c r="K58" s="4">
        <v>20</v>
      </c>
      <c r="L58" s="4">
        <v>0.9</v>
      </c>
      <c r="O58" s="4">
        <v>1</v>
      </c>
      <c r="P58" s="4">
        <v>6</v>
      </c>
      <c r="Q58" s="4">
        <v>0.71110000000000007</v>
      </c>
      <c r="R58" s="4">
        <v>7.5704301408490812E-2</v>
      </c>
      <c r="S58" s="4">
        <v>1.0302663540939585E-2</v>
      </c>
      <c r="T58" s="4">
        <v>32.107443595039747</v>
      </c>
      <c r="U58" s="4">
        <v>39.033158459078464</v>
      </c>
      <c r="V58" s="4">
        <v>1.0944449772597415</v>
      </c>
      <c r="W58" s="4">
        <v>2.761741813356746E-2</v>
      </c>
      <c r="Z58" s="4">
        <v>0.15333259040157793</v>
      </c>
      <c r="AA58" s="4">
        <v>0.97043445927476046</v>
      </c>
    </row>
    <row r="59" spans="1:27" x14ac:dyDescent="0.25">
      <c r="A59" s="4" t="s">
        <v>132</v>
      </c>
      <c r="B59" s="4" t="s">
        <v>19</v>
      </c>
      <c r="D59" s="4" t="s">
        <v>6</v>
      </c>
      <c r="F59" s="4">
        <v>60</v>
      </c>
      <c r="H59" s="5" t="s">
        <v>276</v>
      </c>
      <c r="J59" s="4">
        <v>0.2</v>
      </c>
      <c r="K59" s="4">
        <v>20</v>
      </c>
      <c r="L59" s="4">
        <v>0.9</v>
      </c>
      <c r="O59" s="4">
        <v>2</v>
      </c>
      <c r="P59" s="4">
        <v>7</v>
      </c>
      <c r="Q59" s="4">
        <v>0.69299999999999995</v>
      </c>
      <c r="R59" s="4">
        <v>5.3270251796442541E-2</v>
      </c>
      <c r="S59" s="4">
        <v>5.378297988727806E-3</v>
      </c>
      <c r="T59" s="4">
        <v>46078957.936370157</v>
      </c>
      <c r="U59" s="4">
        <v>55286376036793.844</v>
      </c>
      <c r="V59" s="4">
        <v>1.1447415375361385</v>
      </c>
      <c r="W59" s="4">
        <v>1.9005261286921198E-2</v>
      </c>
      <c r="Z59" s="4">
        <v>0.13467932598449389</v>
      </c>
      <c r="AA59" s="4">
        <v>0.97558696799201849</v>
      </c>
    </row>
    <row r="60" spans="1:27" x14ac:dyDescent="0.25">
      <c r="A60" s="4" t="s">
        <v>133</v>
      </c>
      <c r="B60" s="4" t="s">
        <v>19</v>
      </c>
      <c r="D60" s="4" t="s">
        <v>6</v>
      </c>
      <c r="F60" s="4">
        <v>80</v>
      </c>
      <c r="H60" s="5" t="s">
        <v>276</v>
      </c>
      <c r="J60" s="4">
        <v>0.2</v>
      </c>
      <c r="K60" s="4">
        <v>20</v>
      </c>
      <c r="L60" s="4">
        <v>0.9</v>
      </c>
      <c r="O60" s="4">
        <v>1</v>
      </c>
      <c r="P60" s="4">
        <v>7</v>
      </c>
      <c r="Q60" s="4">
        <v>0.68280000000000007</v>
      </c>
      <c r="R60" s="4">
        <v>1.5849688724137952E-2</v>
      </c>
      <c r="S60" s="4">
        <v>5.9531125556031381E-3</v>
      </c>
      <c r="T60" s="4">
        <v>3.6035666005329867</v>
      </c>
      <c r="U60" s="4">
        <v>3.1929698060619365</v>
      </c>
      <c r="V60" s="4">
        <v>1.1855962864391043</v>
      </c>
      <c r="W60" s="4">
        <v>4.8147806770605359E-2</v>
      </c>
      <c r="Z60" s="4">
        <v>0.39915790162396059</v>
      </c>
      <c r="AA60" s="4">
        <v>0.91043400051436907</v>
      </c>
    </row>
    <row r="61" spans="1:27" x14ac:dyDescent="0.25">
      <c r="A61" s="4" t="s">
        <v>141</v>
      </c>
      <c r="B61" s="4" t="s">
        <v>4</v>
      </c>
      <c r="C61" s="4" t="s">
        <v>11</v>
      </c>
      <c r="D61" s="4" t="s">
        <v>6</v>
      </c>
      <c r="F61" s="4">
        <v>40</v>
      </c>
      <c r="H61" s="5" t="s">
        <v>276</v>
      </c>
      <c r="J61" s="4">
        <v>0.2</v>
      </c>
      <c r="K61" s="4">
        <v>20</v>
      </c>
      <c r="L61" s="4">
        <v>0.9</v>
      </c>
      <c r="O61" s="4">
        <v>1</v>
      </c>
      <c r="P61" s="4">
        <v>6</v>
      </c>
      <c r="Q61" s="4">
        <v>0.5069999999999999</v>
      </c>
      <c r="R61" s="4">
        <v>9.6978786924721727E-2</v>
      </c>
      <c r="S61" s="4">
        <v>8.6670104182030527E-2</v>
      </c>
      <c r="T61" s="4">
        <v>0.8603396848893442</v>
      </c>
      <c r="U61" s="4">
        <v>0.81142861966374991</v>
      </c>
      <c r="V61" s="4">
        <v>0.89953215837788247</v>
      </c>
      <c r="W61" s="4">
        <v>0.15376233395610983</v>
      </c>
      <c r="Z61" s="4">
        <v>9.189830008921307E-2</v>
      </c>
      <c r="AA61" s="4">
        <v>0.98577936237241393</v>
      </c>
    </row>
    <row r="62" spans="1:27" x14ac:dyDescent="0.25">
      <c r="A62" s="4" t="s">
        <v>142</v>
      </c>
      <c r="B62" s="4" t="s">
        <v>4</v>
      </c>
      <c r="C62" s="4" t="s">
        <v>11</v>
      </c>
      <c r="D62" s="4" t="s">
        <v>6</v>
      </c>
      <c r="F62" s="4">
        <v>60</v>
      </c>
      <c r="H62" s="5" t="s">
        <v>276</v>
      </c>
      <c r="J62" s="4">
        <v>0.2</v>
      </c>
      <c r="K62" s="4">
        <v>20</v>
      </c>
      <c r="L62" s="4">
        <v>0.9</v>
      </c>
      <c r="O62" s="4">
        <v>2</v>
      </c>
      <c r="P62" s="4">
        <v>6</v>
      </c>
      <c r="Q62" s="4">
        <v>0.50900000000000012</v>
      </c>
      <c r="R62" s="4">
        <v>12.390505746840015</v>
      </c>
      <c r="S62" s="4">
        <v>327513.40488523757</v>
      </c>
      <c r="T62" s="4">
        <v>5.8941864504069279E-3</v>
      </c>
      <c r="U62" s="4">
        <v>155.34337606124487</v>
      </c>
      <c r="V62" s="4">
        <v>0.73214960912981175</v>
      </c>
      <c r="W62" s="4">
        <v>56.750460164554653</v>
      </c>
      <c r="Z62" s="4">
        <v>0.13759364640927613</v>
      </c>
      <c r="AA62" s="4">
        <v>0.9757024915265875</v>
      </c>
    </row>
    <row r="63" spans="1:27" x14ac:dyDescent="0.25">
      <c r="A63" s="4" t="s">
        <v>143</v>
      </c>
      <c r="B63" s="4" t="s">
        <v>24</v>
      </c>
      <c r="C63" s="4" t="s">
        <v>25</v>
      </c>
      <c r="D63" s="4" t="s">
        <v>6</v>
      </c>
      <c r="F63" s="4">
        <v>25</v>
      </c>
      <c r="H63" s="5" t="s">
        <v>276</v>
      </c>
      <c r="J63" s="4">
        <v>0.2</v>
      </c>
      <c r="K63" s="4">
        <v>20</v>
      </c>
      <c r="L63" s="4">
        <v>0.9</v>
      </c>
      <c r="O63" s="4">
        <v>1</v>
      </c>
      <c r="P63" s="4">
        <v>8</v>
      </c>
      <c r="Q63" s="4">
        <v>0.61799999999999988</v>
      </c>
      <c r="R63" s="4">
        <v>4.6185405026861172E-2</v>
      </c>
      <c r="S63" s="4">
        <v>4.613925762922029E-3</v>
      </c>
      <c r="T63" s="4">
        <v>3.7936090421656594</v>
      </c>
      <c r="U63" s="4">
        <v>1.7892953762923605</v>
      </c>
      <c r="V63" s="4">
        <v>1.0422804218684067</v>
      </c>
      <c r="W63" s="4">
        <v>3.7028027445204195E-3</v>
      </c>
      <c r="Z63" s="4">
        <v>0.12115004075189287</v>
      </c>
      <c r="AA63" s="4">
        <v>0.99297366218124916</v>
      </c>
    </row>
    <row r="64" spans="1:27" x14ac:dyDescent="0.25">
      <c r="A64" s="4" t="s">
        <v>144</v>
      </c>
      <c r="B64" s="4" t="s">
        <v>24</v>
      </c>
      <c r="C64" s="4" t="s">
        <v>25</v>
      </c>
      <c r="D64" s="4" t="s">
        <v>6</v>
      </c>
      <c r="F64" s="4">
        <v>30</v>
      </c>
      <c r="H64" s="5" t="s">
        <v>276</v>
      </c>
      <c r="J64" s="4">
        <v>0.2</v>
      </c>
      <c r="K64" s="4">
        <v>20</v>
      </c>
      <c r="L64" s="4">
        <v>0.9</v>
      </c>
      <c r="O64" s="4">
        <v>1</v>
      </c>
      <c r="P64" s="4">
        <v>10</v>
      </c>
      <c r="Q64" s="4">
        <v>0.71899999999999997</v>
      </c>
      <c r="R64" s="4">
        <v>0.11178762138219202</v>
      </c>
      <c r="S64" s="4">
        <v>2.217787896146288E-2</v>
      </c>
      <c r="T64" s="4">
        <v>0.9551544424514371</v>
      </c>
      <c r="U64" s="4">
        <v>0.3100851370108012</v>
      </c>
      <c r="V64" s="4">
        <v>1.0029718447167506</v>
      </c>
      <c r="W64" s="4">
        <v>1.0891662369979363E-2</v>
      </c>
      <c r="Z64" s="4">
        <v>0.17427781217229704</v>
      </c>
      <c r="AA64" s="4">
        <v>0.98895217211495634</v>
      </c>
    </row>
    <row r="65" spans="1:27" x14ac:dyDescent="0.25">
      <c r="A65" s="4" t="s">
        <v>145</v>
      </c>
      <c r="B65" s="4" t="s">
        <v>24</v>
      </c>
      <c r="C65" s="4" t="s">
        <v>25</v>
      </c>
      <c r="D65" s="4" t="s">
        <v>6</v>
      </c>
      <c r="F65" s="4">
        <v>35</v>
      </c>
      <c r="H65" s="5" t="s">
        <v>276</v>
      </c>
      <c r="J65" s="4">
        <v>0.2</v>
      </c>
      <c r="K65" s="4">
        <v>20</v>
      </c>
      <c r="L65" s="4">
        <v>0.9</v>
      </c>
      <c r="O65" s="4">
        <v>1</v>
      </c>
      <c r="P65" s="4">
        <v>8</v>
      </c>
      <c r="Q65" s="4">
        <v>0.71500000000000008</v>
      </c>
      <c r="R65" s="4">
        <v>0.11073271677729536</v>
      </c>
      <c r="S65" s="4">
        <v>1.1535093578219618E-2</v>
      </c>
      <c r="T65" s="4">
        <v>0.97990590859911675</v>
      </c>
      <c r="U65" s="4">
        <v>0.14929779797458867</v>
      </c>
      <c r="V65" s="4">
        <v>1.0208069367595674</v>
      </c>
      <c r="W65" s="4">
        <v>8.4436724718381304E-3</v>
      </c>
      <c r="Z65" s="4">
        <v>5.9945307102308221E-2</v>
      </c>
      <c r="AA65" s="4">
        <v>0.99831543921177457</v>
      </c>
    </row>
    <row r="66" spans="1:27" x14ac:dyDescent="0.25">
      <c r="A66" s="4" t="s">
        <v>146</v>
      </c>
      <c r="B66" s="4" t="s">
        <v>24</v>
      </c>
      <c r="C66" s="4" t="s">
        <v>25</v>
      </c>
      <c r="D66" s="4" t="s">
        <v>6</v>
      </c>
      <c r="F66" s="4">
        <v>40</v>
      </c>
      <c r="H66" s="5" t="s">
        <v>276</v>
      </c>
      <c r="J66" s="4">
        <v>0.2</v>
      </c>
      <c r="K66" s="4">
        <v>20</v>
      </c>
      <c r="L66" s="4">
        <v>0.9</v>
      </c>
      <c r="O66" s="4">
        <v>1</v>
      </c>
      <c r="P66" s="4">
        <v>11</v>
      </c>
      <c r="Q66" s="4">
        <v>0.82399999999999995</v>
      </c>
      <c r="R66" s="4">
        <v>8.050903141679612E-2</v>
      </c>
      <c r="S66" s="4">
        <v>9.6225121719752827E-3</v>
      </c>
      <c r="T66" s="4">
        <v>2.9325302044090171</v>
      </c>
      <c r="U66" s="4">
        <v>0.8391203916060771</v>
      </c>
      <c r="V66" s="4">
        <v>1.0294648179811816</v>
      </c>
      <c r="W66" s="4">
        <v>5.1178394856434516E-3</v>
      </c>
      <c r="Z66" s="4">
        <v>0.18137331080330149</v>
      </c>
      <c r="AA66" s="4">
        <v>0.9888990652378159</v>
      </c>
    </row>
    <row r="67" spans="1:27" x14ac:dyDescent="0.25">
      <c r="A67" s="4" t="s">
        <v>147</v>
      </c>
      <c r="B67" s="4" t="s">
        <v>26</v>
      </c>
      <c r="D67" s="4" t="s">
        <v>27</v>
      </c>
      <c r="E67" s="4" t="s">
        <v>53</v>
      </c>
      <c r="F67" s="4">
        <v>30</v>
      </c>
      <c r="H67" s="5" t="s">
        <v>276</v>
      </c>
      <c r="J67" s="4">
        <v>0.2</v>
      </c>
      <c r="K67" s="4">
        <v>20</v>
      </c>
      <c r="L67" s="4">
        <v>0.9</v>
      </c>
      <c r="O67" s="4">
        <v>0</v>
      </c>
      <c r="P67" s="4">
        <v>7</v>
      </c>
      <c r="Q67" s="4">
        <v>0.72699999999999998</v>
      </c>
      <c r="R67" s="4">
        <v>5.6705542281360787E-2</v>
      </c>
      <c r="S67" s="4">
        <v>2.6146728053420111E-3</v>
      </c>
      <c r="T67" s="4">
        <v>14.338129217065859</v>
      </c>
      <c r="U67" s="4">
        <v>2.3633834031159768</v>
      </c>
      <c r="V67" s="4">
        <v>0.91151836272571218</v>
      </c>
      <c r="W67" s="4">
        <v>1.7703788189890636E-2</v>
      </c>
      <c r="Z67" s="4">
        <v>3.8070682525155573E-2</v>
      </c>
      <c r="AA67" s="4">
        <v>0.99633711283683635</v>
      </c>
    </row>
    <row r="68" spans="1:27" x14ac:dyDescent="0.25">
      <c r="A68" s="4" t="s">
        <v>148</v>
      </c>
      <c r="B68" s="4" t="s">
        <v>26</v>
      </c>
      <c r="D68" s="4" t="s">
        <v>27</v>
      </c>
      <c r="E68" s="4" t="s">
        <v>53</v>
      </c>
      <c r="F68" s="4">
        <v>45</v>
      </c>
      <c r="H68" s="5" t="s">
        <v>276</v>
      </c>
      <c r="J68" s="4">
        <v>0.2</v>
      </c>
      <c r="K68" s="4">
        <v>20</v>
      </c>
      <c r="L68" s="4">
        <v>0.9</v>
      </c>
      <c r="O68" s="4">
        <v>0</v>
      </c>
      <c r="P68" s="4">
        <v>7</v>
      </c>
      <c r="Q68" s="4">
        <v>0.68900000000000006</v>
      </c>
      <c r="R68" s="4">
        <v>4.5686716229662173E-2</v>
      </c>
      <c r="S68" s="4">
        <v>2.0222243497573828E-3</v>
      </c>
      <c r="T68" s="4">
        <v>13.706978231814254</v>
      </c>
      <c r="U68" s="4">
        <v>1.7435981989727103</v>
      </c>
      <c r="V68" s="4">
        <v>0.88450406150563532</v>
      </c>
      <c r="W68" s="4">
        <v>2.0982007051631897E-2</v>
      </c>
      <c r="Z68" s="4">
        <v>3.1772130716981567E-2</v>
      </c>
      <c r="AA68" s="4">
        <v>0.99697000541313663</v>
      </c>
    </row>
    <row r="69" spans="1:27" x14ac:dyDescent="0.25">
      <c r="A69" s="4" t="s">
        <v>149</v>
      </c>
      <c r="B69" s="4" t="s">
        <v>26</v>
      </c>
      <c r="D69" s="4" t="s">
        <v>27</v>
      </c>
      <c r="E69" s="4" t="s">
        <v>53</v>
      </c>
      <c r="F69" s="4">
        <v>60</v>
      </c>
      <c r="H69" s="5" t="s">
        <v>276</v>
      </c>
      <c r="J69" s="4">
        <v>0.2</v>
      </c>
      <c r="K69" s="4">
        <v>20</v>
      </c>
      <c r="L69" s="4">
        <v>0.9</v>
      </c>
      <c r="O69" s="4">
        <v>0</v>
      </c>
      <c r="P69" s="4">
        <v>7</v>
      </c>
      <c r="Q69" s="4">
        <v>0.65500000000000003</v>
      </c>
      <c r="R69" s="4">
        <v>3.5879391253011143E-2</v>
      </c>
      <c r="S69" s="4">
        <v>1.7926798952134001E-3</v>
      </c>
      <c r="T69" s="4">
        <v>6.3807990635504286</v>
      </c>
      <c r="U69" s="4">
        <v>0.36870562547864599</v>
      </c>
      <c r="V69" s="4">
        <v>0.76198801293197971</v>
      </c>
      <c r="W69" s="4">
        <v>2.6225649237696633E-2</v>
      </c>
      <c r="Z69" s="4">
        <v>2.0009503368175859E-2</v>
      </c>
      <c r="AA69" s="4">
        <v>0.99899230164366193</v>
      </c>
    </row>
    <row r="70" spans="1:27" x14ac:dyDescent="0.25">
      <c r="A70" s="4" t="s">
        <v>150</v>
      </c>
      <c r="B70" s="4" t="s">
        <v>26</v>
      </c>
      <c r="D70" s="4" t="s">
        <v>27</v>
      </c>
      <c r="E70" s="4" t="s">
        <v>54</v>
      </c>
      <c r="F70" s="4">
        <v>30</v>
      </c>
      <c r="H70" s="5" t="s">
        <v>276</v>
      </c>
      <c r="J70" s="4">
        <v>0.2</v>
      </c>
      <c r="K70" s="4">
        <v>20</v>
      </c>
      <c r="L70" s="4">
        <v>0.9</v>
      </c>
      <c r="O70" s="4">
        <v>0</v>
      </c>
      <c r="P70" s="4">
        <v>7</v>
      </c>
      <c r="Q70" s="4">
        <v>0.72699999999999998</v>
      </c>
      <c r="R70" s="4">
        <v>7.6280502368428468E-2</v>
      </c>
      <c r="S70" s="4">
        <v>5.9835510188613605E-3</v>
      </c>
      <c r="T70" s="4">
        <v>9.209491636162193</v>
      </c>
      <c r="U70" s="4">
        <v>1.6893128378826865</v>
      </c>
      <c r="V70" s="4">
        <v>0.86071536377774771</v>
      </c>
      <c r="W70" s="4">
        <v>3.1847390268531124E-2</v>
      </c>
      <c r="Z70" s="4">
        <v>5.2597982614107121E-2</v>
      </c>
      <c r="AA70" s="4">
        <v>0.99324532856886349</v>
      </c>
    </row>
    <row r="71" spans="1:27" x14ac:dyDescent="0.25">
      <c r="A71" s="4" t="s">
        <v>151</v>
      </c>
      <c r="B71" s="4" t="s">
        <v>26</v>
      </c>
      <c r="D71" s="4" t="s">
        <v>27</v>
      </c>
      <c r="E71" s="4" t="s">
        <v>54</v>
      </c>
      <c r="F71" s="4">
        <v>45</v>
      </c>
      <c r="H71" s="5" t="s">
        <v>276</v>
      </c>
      <c r="J71" s="4">
        <v>0.2</v>
      </c>
      <c r="K71" s="4">
        <v>20</v>
      </c>
      <c r="L71" s="4">
        <v>0.9</v>
      </c>
      <c r="O71" s="4">
        <v>0</v>
      </c>
      <c r="P71" s="4">
        <v>7</v>
      </c>
      <c r="Q71" s="4">
        <v>0.68900000000000006</v>
      </c>
      <c r="R71" s="4">
        <v>5.4907922562524213E-2</v>
      </c>
      <c r="S71" s="4">
        <v>2.8821746199818297E-3</v>
      </c>
      <c r="T71" s="4">
        <v>8.5470464612245607</v>
      </c>
      <c r="U71" s="4">
        <v>0.87677575943895236</v>
      </c>
      <c r="V71" s="4">
        <v>0.86009791836423877</v>
      </c>
      <c r="W71" s="4">
        <v>2.4094047428984033E-2</v>
      </c>
      <c r="Z71" s="4">
        <v>3.1373208178429327E-2</v>
      </c>
      <c r="AA71" s="4">
        <v>0.99753108687402758</v>
      </c>
    </row>
    <row r="72" spans="1:27" x14ac:dyDescent="0.25">
      <c r="A72" s="4" t="s">
        <v>152</v>
      </c>
      <c r="B72" s="4" t="s">
        <v>26</v>
      </c>
      <c r="D72" s="4" t="s">
        <v>27</v>
      </c>
      <c r="E72" s="4" t="s">
        <v>54</v>
      </c>
      <c r="F72" s="4">
        <v>60</v>
      </c>
      <c r="H72" s="5" t="s">
        <v>276</v>
      </c>
      <c r="J72" s="4">
        <v>0.2</v>
      </c>
      <c r="K72" s="4">
        <v>20</v>
      </c>
      <c r="L72" s="4">
        <v>0.9</v>
      </c>
      <c r="O72" s="4">
        <v>0</v>
      </c>
      <c r="P72" s="4">
        <v>7</v>
      </c>
      <c r="Q72" s="4">
        <v>0.65500000000000003</v>
      </c>
      <c r="R72" s="4">
        <v>5.2241166434032336E-2</v>
      </c>
      <c r="S72" s="4">
        <v>6.7576864547883274E-3</v>
      </c>
      <c r="T72" s="4">
        <v>3.7521292256006578</v>
      </c>
      <c r="U72" s="4">
        <v>0.3352988366476205</v>
      </c>
      <c r="V72" s="4">
        <v>0.66608947013586628</v>
      </c>
      <c r="W72" s="4">
        <v>5.9181084568278683E-2</v>
      </c>
      <c r="Z72" s="4">
        <v>2.854773134576551E-2</v>
      </c>
      <c r="AA72" s="4">
        <v>0.99841333099345309</v>
      </c>
    </row>
    <row r="73" spans="1:27" x14ac:dyDescent="0.25">
      <c r="A73" s="4" t="s">
        <v>153</v>
      </c>
      <c r="B73" s="4" t="s">
        <v>28</v>
      </c>
      <c r="D73" s="4" t="s">
        <v>29</v>
      </c>
      <c r="F73" s="4">
        <v>0</v>
      </c>
      <c r="H73" s="5" t="s">
        <v>276</v>
      </c>
      <c r="J73" s="4">
        <v>0.2</v>
      </c>
      <c r="K73" s="4">
        <v>20</v>
      </c>
      <c r="L73" s="4">
        <v>0.9</v>
      </c>
      <c r="O73" s="4">
        <v>2</v>
      </c>
      <c r="P73" s="4">
        <v>9</v>
      </c>
      <c r="Q73" s="4">
        <v>0.65</v>
      </c>
      <c r="R73" s="4">
        <v>17.523870214854327</v>
      </c>
      <c r="S73" s="4">
        <v>472596.18605188123</v>
      </c>
      <c r="T73" s="4">
        <v>6.9072599004994309E-3</v>
      </c>
      <c r="U73" s="4">
        <v>185.63990094742948</v>
      </c>
      <c r="V73" s="4">
        <v>0.53315495657689915</v>
      </c>
      <c r="W73" s="4">
        <v>49.475923879917858</v>
      </c>
      <c r="Z73" s="4">
        <v>0.10782673821796931</v>
      </c>
      <c r="AA73" s="4">
        <v>0.98215831707476364</v>
      </c>
    </row>
    <row r="74" spans="1:27" x14ac:dyDescent="0.25">
      <c r="A74" s="4" t="s">
        <v>154</v>
      </c>
      <c r="B74" s="4" t="s">
        <v>28</v>
      </c>
      <c r="D74" s="4" t="s">
        <v>29</v>
      </c>
      <c r="F74" s="4">
        <v>5</v>
      </c>
      <c r="H74" s="5" t="s">
        <v>276</v>
      </c>
      <c r="J74" s="4">
        <v>0.2</v>
      </c>
      <c r="K74" s="4">
        <v>20</v>
      </c>
      <c r="L74" s="4">
        <v>0.9</v>
      </c>
      <c r="O74" s="4">
        <v>0</v>
      </c>
      <c r="P74" s="4">
        <v>9</v>
      </c>
      <c r="Q74" s="4">
        <v>0.57950000000000013</v>
      </c>
      <c r="R74" s="4">
        <v>6.9673636918076154E-2</v>
      </c>
      <c r="S74" s="4">
        <v>6.1840286160725769E-3</v>
      </c>
      <c r="T74" s="4">
        <v>5.8544433107604501</v>
      </c>
      <c r="U74" s="4">
        <v>1.6037092264832657</v>
      </c>
      <c r="V74" s="4">
        <v>0.78734081269542489</v>
      </c>
      <c r="W74" s="4">
        <v>2.3464211422511615E-2</v>
      </c>
      <c r="Z74" s="4">
        <v>3.1172456727971767E-2</v>
      </c>
      <c r="AA74" s="4">
        <v>0.99544419591298328</v>
      </c>
    </row>
    <row r="75" spans="1:27" x14ac:dyDescent="0.25">
      <c r="A75" s="4" t="s">
        <v>155</v>
      </c>
      <c r="B75" s="4" t="s">
        <v>28</v>
      </c>
      <c r="D75" s="4" t="s">
        <v>29</v>
      </c>
      <c r="F75" s="4">
        <v>10</v>
      </c>
      <c r="H75" s="5" t="s">
        <v>276</v>
      </c>
      <c r="J75" s="4">
        <v>0.2</v>
      </c>
      <c r="K75" s="4">
        <v>20</v>
      </c>
      <c r="L75" s="4">
        <v>0.9</v>
      </c>
      <c r="O75" s="4">
        <v>2</v>
      </c>
      <c r="P75" s="4">
        <v>9</v>
      </c>
      <c r="Q75" s="4">
        <v>0.63250000000000006</v>
      </c>
      <c r="R75" s="4">
        <v>11.416560805060426</v>
      </c>
      <c r="S75" s="4">
        <v>39326.698921330855</v>
      </c>
      <c r="T75" s="4">
        <v>3.8297315056424058E-2</v>
      </c>
      <c r="U75" s="4">
        <v>129.42102661670569</v>
      </c>
      <c r="V75" s="4">
        <v>0.29150577378653414</v>
      </c>
      <c r="W75" s="4">
        <v>19.072167568569377</v>
      </c>
      <c r="Z75" s="4">
        <v>4.8333659230017562E-2</v>
      </c>
      <c r="AA75" s="4">
        <v>0.99284852865907691</v>
      </c>
    </row>
    <row r="76" spans="1:27" x14ac:dyDescent="0.25">
      <c r="A76" s="4" t="s">
        <v>156</v>
      </c>
      <c r="B76" s="4" t="s">
        <v>28</v>
      </c>
      <c r="D76" s="4" t="s">
        <v>29</v>
      </c>
      <c r="F76" s="4">
        <v>15</v>
      </c>
      <c r="H76" s="5" t="s">
        <v>276</v>
      </c>
      <c r="J76" s="4">
        <v>0.2</v>
      </c>
      <c r="K76" s="4">
        <v>20</v>
      </c>
      <c r="L76" s="4">
        <v>0.9</v>
      </c>
      <c r="O76" s="4">
        <v>0</v>
      </c>
      <c r="P76" s="4">
        <v>9</v>
      </c>
      <c r="Q76" s="4">
        <v>0.60970000000000013</v>
      </c>
      <c r="R76" s="4">
        <v>7.7771903995116326E-2</v>
      </c>
      <c r="S76" s="4">
        <v>1.1606001160452272E-2</v>
      </c>
      <c r="T76" s="4">
        <v>2.9698375766245078</v>
      </c>
      <c r="U76" s="4">
        <v>0.7504300496819799</v>
      </c>
      <c r="V76" s="4">
        <v>0.7715985476073749</v>
      </c>
      <c r="W76" s="4">
        <v>3.7410226620192569E-2</v>
      </c>
      <c r="Z76" s="4">
        <v>4.0855446121375254E-2</v>
      </c>
      <c r="AA76" s="4">
        <v>0.99400342305666289</v>
      </c>
    </row>
    <row r="77" spans="1:27" x14ac:dyDescent="0.25">
      <c r="A77" s="4" t="s">
        <v>157</v>
      </c>
      <c r="B77" s="4" t="s">
        <v>28</v>
      </c>
      <c r="D77" s="4" t="s">
        <v>29</v>
      </c>
      <c r="F77" s="4">
        <v>20</v>
      </c>
      <c r="H77" s="5" t="s">
        <v>276</v>
      </c>
      <c r="J77" s="4">
        <v>0.2</v>
      </c>
      <c r="K77" s="4">
        <v>20</v>
      </c>
      <c r="L77" s="4">
        <v>0.9</v>
      </c>
      <c r="O77" s="4">
        <v>0</v>
      </c>
      <c r="P77" s="4">
        <v>9</v>
      </c>
      <c r="Q77" s="4">
        <v>0.57489999999999997</v>
      </c>
      <c r="R77" s="4">
        <v>6.7852606952524278E-2</v>
      </c>
      <c r="S77" s="4">
        <v>9.3611105163070325E-3</v>
      </c>
      <c r="T77" s="4">
        <v>2.6495233607166786</v>
      </c>
      <c r="U77" s="4">
        <v>0.65265938190712702</v>
      </c>
      <c r="V77" s="4">
        <v>0.80944895804163219</v>
      </c>
      <c r="W77" s="4">
        <v>3.0818209777673012E-2</v>
      </c>
      <c r="Z77" s="4">
        <v>3.8417163111314739E-2</v>
      </c>
      <c r="AA77" s="4">
        <v>0.99536895927679669</v>
      </c>
    </row>
    <row r="78" spans="1:27" x14ac:dyDescent="0.25">
      <c r="A78" s="4" t="s">
        <v>158</v>
      </c>
      <c r="B78" s="4" t="s">
        <v>28</v>
      </c>
      <c r="D78" s="4" t="s">
        <v>29</v>
      </c>
      <c r="F78" s="4">
        <v>25</v>
      </c>
      <c r="H78" s="5" t="s">
        <v>276</v>
      </c>
      <c r="J78" s="4">
        <v>0.2</v>
      </c>
      <c r="K78" s="4">
        <v>20</v>
      </c>
      <c r="L78" s="4">
        <v>0.9</v>
      </c>
      <c r="O78" s="4">
        <v>0</v>
      </c>
      <c r="P78" s="4">
        <v>9</v>
      </c>
      <c r="Q78" s="4">
        <v>0.58860000000000001</v>
      </c>
      <c r="R78" s="4">
        <v>6.4522549281875174E-2</v>
      </c>
      <c r="S78" s="4">
        <v>5.407315876512016E-3</v>
      </c>
      <c r="T78" s="4">
        <v>5.8640002613751312</v>
      </c>
      <c r="U78" s="4">
        <v>1.1567938750628646</v>
      </c>
      <c r="V78" s="4">
        <v>0.79264478677427264</v>
      </c>
      <c r="W78" s="4">
        <v>2.8341611483148031E-2</v>
      </c>
      <c r="Z78" s="4">
        <v>2.8509565725993873E-2</v>
      </c>
      <c r="AA78" s="4">
        <v>0.99600210453129556</v>
      </c>
    </row>
    <row r="79" spans="1:27" x14ac:dyDescent="0.25">
      <c r="A79" s="4" t="s">
        <v>159</v>
      </c>
      <c r="B79" s="4" t="s">
        <v>28</v>
      </c>
      <c r="D79" s="4" t="s">
        <v>29</v>
      </c>
      <c r="F79" s="4">
        <v>30</v>
      </c>
      <c r="H79" s="5" t="s">
        <v>276</v>
      </c>
      <c r="J79" s="4">
        <v>0.2</v>
      </c>
      <c r="K79" s="4">
        <v>20</v>
      </c>
      <c r="L79" s="4">
        <v>0.9</v>
      </c>
      <c r="O79" s="4">
        <v>0</v>
      </c>
      <c r="P79" s="4">
        <v>9</v>
      </c>
      <c r="Q79" s="4">
        <v>0.6038</v>
      </c>
      <c r="R79" s="4">
        <v>7.5133295259729158E-2</v>
      </c>
      <c r="S79" s="4">
        <v>1.4270676394639132E-2</v>
      </c>
      <c r="T79" s="4">
        <v>3.1127896415887744</v>
      </c>
      <c r="U79" s="4">
        <v>0.64264106319979553</v>
      </c>
      <c r="V79" s="4">
        <v>0.75358523125349119</v>
      </c>
      <c r="W79" s="4">
        <v>6.961677363881226E-2</v>
      </c>
      <c r="Z79" s="4">
        <v>4.3184806987187636E-2</v>
      </c>
      <c r="AA79" s="4">
        <v>0.99339733213422332</v>
      </c>
    </row>
    <row r="80" spans="1:27" x14ac:dyDescent="0.25">
      <c r="A80" s="4" t="s">
        <v>160</v>
      </c>
      <c r="B80" s="4" t="s">
        <v>28</v>
      </c>
      <c r="D80" s="4" t="s">
        <v>29</v>
      </c>
      <c r="F80" s="4">
        <v>35</v>
      </c>
      <c r="H80" s="5" t="s">
        <v>276</v>
      </c>
      <c r="J80" s="4">
        <v>0.2</v>
      </c>
      <c r="K80" s="4">
        <v>20</v>
      </c>
      <c r="L80" s="4">
        <v>0.9</v>
      </c>
      <c r="O80" s="4">
        <v>2</v>
      </c>
      <c r="P80" s="4">
        <v>9</v>
      </c>
      <c r="Q80" s="4">
        <v>0.64440000000000008</v>
      </c>
      <c r="R80" s="4">
        <v>14.22983653273427</v>
      </c>
      <c r="S80" s="4">
        <v>181244.86582168235</v>
      </c>
      <c r="T80" s="4">
        <v>2.3171468011299441E-2</v>
      </c>
      <c r="U80" s="4">
        <v>291.73869238312449</v>
      </c>
      <c r="V80" s="4">
        <v>0.33123263318578222</v>
      </c>
      <c r="W80" s="4">
        <v>48.595522070436473</v>
      </c>
      <c r="Z80" s="4">
        <v>0.10159604129661623</v>
      </c>
      <c r="AA80" s="4">
        <v>0.97412575723288963</v>
      </c>
    </row>
    <row r="81" spans="1:27" x14ac:dyDescent="0.25">
      <c r="A81" s="4" t="s">
        <v>161</v>
      </c>
      <c r="B81" s="4" t="s">
        <v>30</v>
      </c>
      <c r="C81" s="4" t="s">
        <v>31</v>
      </c>
      <c r="D81" s="4" t="s">
        <v>32</v>
      </c>
      <c r="E81" s="4" t="s">
        <v>53</v>
      </c>
      <c r="F81" s="4">
        <v>30</v>
      </c>
      <c r="H81" s="5" t="s">
        <v>276</v>
      </c>
      <c r="J81" s="4">
        <v>0.2</v>
      </c>
      <c r="K81" s="4">
        <v>20</v>
      </c>
      <c r="L81" s="4">
        <v>0.9</v>
      </c>
      <c r="O81" s="4">
        <v>0</v>
      </c>
      <c r="P81" s="4">
        <v>5</v>
      </c>
      <c r="Q81" s="4">
        <v>0.58000000000000007</v>
      </c>
      <c r="R81" s="4">
        <v>0.17215118623673512</v>
      </c>
      <c r="S81" s="4">
        <v>1.6354592814157409E-2</v>
      </c>
      <c r="T81" s="4">
        <v>4.7192405951280723</v>
      </c>
      <c r="U81" s="4">
        <v>0.55355817419435061</v>
      </c>
      <c r="V81" s="4">
        <v>0.71330082132785011</v>
      </c>
      <c r="W81" s="4">
        <v>3.886997962422041E-2</v>
      </c>
      <c r="Z81" s="4">
        <v>1.7584464467979784E-2</v>
      </c>
      <c r="AA81" s="4">
        <v>0.99885814856811883</v>
      </c>
    </row>
    <row r="82" spans="1:27" x14ac:dyDescent="0.25">
      <c r="A82" s="4" t="s">
        <v>162</v>
      </c>
      <c r="B82" s="4" t="s">
        <v>30</v>
      </c>
      <c r="C82" s="4" t="s">
        <v>33</v>
      </c>
      <c r="D82" s="4" t="s">
        <v>32</v>
      </c>
      <c r="E82" s="4" t="s">
        <v>53</v>
      </c>
      <c r="F82" s="4">
        <v>30</v>
      </c>
      <c r="H82" s="5" t="s">
        <v>276</v>
      </c>
      <c r="J82" s="4">
        <v>0.2</v>
      </c>
      <c r="K82" s="4">
        <v>20</v>
      </c>
      <c r="L82" s="4">
        <v>0.9</v>
      </c>
      <c r="O82" s="4">
        <v>1</v>
      </c>
      <c r="P82" s="4">
        <v>5</v>
      </c>
      <c r="Q82" s="4">
        <v>0.58000000000000007</v>
      </c>
      <c r="R82" s="4">
        <v>0.17815161956346551</v>
      </c>
      <c r="S82" s="4">
        <v>0.15511879592182637</v>
      </c>
      <c r="T82" s="4">
        <v>2.4558659391144118</v>
      </c>
      <c r="U82" s="4">
        <v>1.5086476799690072</v>
      </c>
      <c r="V82" s="4">
        <v>0.60682594196818951</v>
      </c>
      <c r="W82" s="4">
        <v>0.29030258413972854</v>
      </c>
      <c r="Z82" s="4">
        <v>7.0901220544282786E-2</v>
      </c>
      <c r="AA82" s="4">
        <v>0.98578883618235302</v>
      </c>
    </row>
    <row r="83" spans="1:27" x14ac:dyDescent="0.25">
      <c r="A83" s="4" t="s">
        <v>163</v>
      </c>
      <c r="B83" s="4" t="s">
        <v>30</v>
      </c>
      <c r="C83" s="4" t="s">
        <v>31</v>
      </c>
      <c r="D83" s="4" t="s">
        <v>32</v>
      </c>
      <c r="E83" s="4" t="s">
        <v>53</v>
      </c>
      <c r="F83" s="4">
        <v>40</v>
      </c>
      <c r="H83" s="5" t="s">
        <v>276</v>
      </c>
      <c r="J83" s="4">
        <v>0.2</v>
      </c>
      <c r="K83" s="4">
        <v>20</v>
      </c>
      <c r="L83" s="4">
        <v>0.9</v>
      </c>
      <c r="O83" s="4">
        <v>1</v>
      </c>
      <c r="P83" s="4">
        <v>5</v>
      </c>
      <c r="Q83" s="4">
        <v>0.60000000000000009</v>
      </c>
      <c r="R83" s="4">
        <v>0.30810148507823298</v>
      </c>
      <c r="S83" s="4">
        <v>0.2779434623077916</v>
      </c>
      <c r="T83" s="4">
        <v>3.4868326074205775</v>
      </c>
      <c r="U83" s="4">
        <v>1.0187933792922048</v>
      </c>
      <c r="V83" s="4">
        <v>0.41047868358723638</v>
      </c>
      <c r="W83" s="4">
        <v>0.32934881999697574</v>
      </c>
      <c r="Z83" s="4">
        <v>5.0807818433468668E-2</v>
      </c>
      <c r="AA83" s="4">
        <v>0.99007050919112871</v>
      </c>
    </row>
    <row r="84" spans="1:27" x14ac:dyDescent="0.25">
      <c r="A84" s="4" t="s">
        <v>164</v>
      </c>
      <c r="B84" s="4" t="s">
        <v>30</v>
      </c>
      <c r="C84" s="4" t="s">
        <v>33</v>
      </c>
      <c r="D84" s="4" t="s">
        <v>32</v>
      </c>
      <c r="E84" s="4" t="s">
        <v>53</v>
      </c>
      <c r="F84" s="4">
        <v>40</v>
      </c>
      <c r="H84" s="5" t="s">
        <v>276</v>
      </c>
      <c r="J84" s="4">
        <v>0.2</v>
      </c>
      <c r="K84" s="4">
        <v>20</v>
      </c>
      <c r="L84" s="4">
        <v>0.9</v>
      </c>
      <c r="O84" s="4">
        <v>1</v>
      </c>
      <c r="P84" s="4">
        <v>5</v>
      </c>
      <c r="Q84" s="4">
        <v>0.60000000000000009</v>
      </c>
      <c r="R84" s="4">
        <v>0.16789247585037653</v>
      </c>
      <c r="S84" s="4">
        <v>0.12301719387181766</v>
      </c>
      <c r="T84" s="4">
        <v>2.420346143271447</v>
      </c>
      <c r="U84" s="4">
        <v>1.2085294292600119</v>
      </c>
      <c r="V84" s="4">
        <v>0.59374185366993071</v>
      </c>
      <c r="W84" s="4">
        <v>0.24215004146412203</v>
      </c>
      <c r="Z84" s="4">
        <v>6.1027810723564994E-2</v>
      </c>
      <c r="AA84" s="4">
        <v>0.99006764529985236</v>
      </c>
    </row>
    <row r="85" spans="1:27" x14ac:dyDescent="0.25">
      <c r="A85" s="4" t="s">
        <v>165</v>
      </c>
      <c r="B85" s="4" t="s">
        <v>30</v>
      </c>
      <c r="C85" s="4" t="s">
        <v>31</v>
      </c>
      <c r="D85" s="4" t="s">
        <v>32</v>
      </c>
      <c r="E85" s="4" t="s">
        <v>53</v>
      </c>
      <c r="F85" s="4">
        <v>50</v>
      </c>
      <c r="H85" s="5" t="s">
        <v>276</v>
      </c>
      <c r="J85" s="4">
        <v>0.2</v>
      </c>
      <c r="K85" s="4">
        <v>20</v>
      </c>
      <c r="L85" s="4">
        <v>0.9</v>
      </c>
      <c r="O85" s="4">
        <v>0</v>
      </c>
      <c r="P85" s="4">
        <v>5</v>
      </c>
      <c r="Q85" s="4">
        <v>0.60000000000000009</v>
      </c>
      <c r="R85" s="4">
        <v>0.13914288166200986</v>
      </c>
      <c r="S85" s="4">
        <v>3.185545371708836E-2</v>
      </c>
      <c r="T85" s="4">
        <v>4.7012006003417914</v>
      </c>
      <c r="U85" s="4">
        <v>1.2441579644633247</v>
      </c>
      <c r="V85" s="4">
        <v>0.70953407098745758</v>
      </c>
      <c r="W85" s="4">
        <v>9.6889928972679618E-2</v>
      </c>
      <c r="Z85" s="4">
        <v>4.5966082389004119E-2</v>
      </c>
      <c r="AA85" s="4">
        <v>0.99275691810549049</v>
      </c>
    </row>
    <row r="86" spans="1:27" x14ac:dyDescent="0.25">
      <c r="A86" s="4" t="s">
        <v>166</v>
      </c>
      <c r="B86" s="4" t="s">
        <v>30</v>
      </c>
      <c r="C86" s="4" t="s">
        <v>33</v>
      </c>
      <c r="D86" s="4" t="s">
        <v>32</v>
      </c>
      <c r="E86" s="4" t="s">
        <v>53</v>
      </c>
      <c r="F86" s="4">
        <v>50</v>
      </c>
      <c r="H86" s="5" t="s">
        <v>276</v>
      </c>
      <c r="J86" s="4">
        <v>0.2</v>
      </c>
      <c r="K86" s="4">
        <v>20</v>
      </c>
      <c r="L86" s="4">
        <v>0.9</v>
      </c>
      <c r="O86" s="4">
        <v>0</v>
      </c>
      <c r="P86" s="4">
        <v>5</v>
      </c>
      <c r="Q86" s="4">
        <v>0.60000000000000009</v>
      </c>
      <c r="R86" s="4">
        <v>0.11078395476541072</v>
      </c>
      <c r="S86" s="4">
        <v>4.4935518196262167E-2</v>
      </c>
      <c r="T86" s="4">
        <v>3.1097950036782755</v>
      </c>
      <c r="U86" s="4">
        <v>1.0873779329813187</v>
      </c>
      <c r="V86" s="4">
        <v>0.67621077315055211</v>
      </c>
      <c r="W86" s="4">
        <v>0.15194840820189703</v>
      </c>
      <c r="Z86" s="4">
        <v>5.6385348526841989E-2</v>
      </c>
      <c r="AA86" s="4">
        <v>0.99121287960691007</v>
      </c>
    </row>
    <row r="87" spans="1:27" x14ac:dyDescent="0.25">
      <c r="A87" s="4" t="s">
        <v>167</v>
      </c>
      <c r="B87" s="4" t="s">
        <v>30</v>
      </c>
      <c r="C87" s="4" t="s">
        <v>31</v>
      </c>
      <c r="D87" s="4" t="s">
        <v>32</v>
      </c>
      <c r="E87" s="4" t="s">
        <v>53</v>
      </c>
      <c r="F87" s="4">
        <v>60</v>
      </c>
      <c r="H87" s="5" t="s">
        <v>276</v>
      </c>
      <c r="J87" s="4">
        <v>0.2</v>
      </c>
      <c r="K87" s="4">
        <v>20</v>
      </c>
      <c r="L87" s="4">
        <v>0.9</v>
      </c>
      <c r="O87" s="4">
        <v>0</v>
      </c>
      <c r="P87" s="4">
        <v>5</v>
      </c>
      <c r="Q87" s="4">
        <v>0.6100000000000001</v>
      </c>
      <c r="R87" s="4">
        <v>0.16764196819025831</v>
      </c>
      <c r="S87" s="4">
        <v>5.4691904186561578E-2</v>
      </c>
      <c r="T87" s="4">
        <v>3.3100043352334279</v>
      </c>
      <c r="U87" s="4">
        <v>0.79890149399641841</v>
      </c>
      <c r="V87" s="4">
        <v>0.60407661449234917</v>
      </c>
      <c r="W87" s="4">
        <v>0.12544849146791653</v>
      </c>
      <c r="Z87" s="4">
        <v>3.9966512837196398E-2</v>
      </c>
      <c r="AA87" s="4">
        <v>0.99502159023160963</v>
      </c>
    </row>
    <row r="88" spans="1:27" x14ac:dyDescent="0.25">
      <c r="A88" s="4" t="s">
        <v>168</v>
      </c>
      <c r="B88" s="4" t="s">
        <v>30</v>
      </c>
      <c r="C88" s="4" t="s">
        <v>33</v>
      </c>
      <c r="D88" s="4" t="s">
        <v>32</v>
      </c>
      <c r="E88" s="4" t="s">
        <v>53</v>
      </c>
      <c r="F88" s="4">
        <v>60</v>
      </c>
      <c r="H88" s="5" t="s">
        <v>276</v>
      </c>
      <c r="J88" s="4">
        <v>0.2</v>
      </c>
      <c r="K88" s="4">
        <v>20</v>
      </c>
      <c r="L88" s="4">
        <v>0.9</v>
      </c>
      <c r="O88" s="4">
        <v>0</v>
      </c>
      <c r="P88" s="4">
        <v>5</v>
      </c>
      <c r="Q88" s="4">
        <v>0.6100000000000001</v>
      </c>
      <c r="R88" s="4">
        <v>6.7708770516553551E-2</v>
      </c>
      <c r="S88" s="4">
        <v>1.5182666387996856E-2</v>
      </c>
      <c r="T88" s="4">
        <v>4.9439370786220058</v>
      </c>
      <c r="U88" s="4">
        <v>1.5801628006134514</v>
      </c>
      <c r="V88" s="4">
        <v>0.76527872346786374</v>
      </c>
      <c r="W88" s="4">
        <v>9.0483523943249156E-2</v>
      </c>
      <c r="Z88" s="4">
        <v>5.7733647684901267E-2</v>
      </c>
      <c r="AA88" s="4">
        <v>0.98946011392746624</v>
      </c>
    </row>
    <row r="89" spans="1:27" x14ac:dyDescent="0.25">
      <c r="A89" s="4" t="s">
        <v>169</v>
      </c>
      <c r="B89" s="4" t="s">
        <v>30</v>
      </c>
      <c r="C89" s="4" t="s">
        <v>31</v>
      </c>
      <c r="D89" s="4" t="s">
        <v>32</v>
      </c>
      <c r="E89" s="4" t="s">
        <v>53</v>
      </c>
      <c r="F89" s="4">
        <v>70</v>
      </c>
      <c r="H89" s="5" t="s">
        <v>276</v>
      </c>
      <c r="J89" s="4">
        <v>0.2</v>
      </c>
      <c r="K89" s="4">
        <v>20</v>
      </c>
      <c r="L89" s="4">
        <v>0.9</v>
      </c>
      <c r="O89" s="4">
        <v>1</v>
      </c>
      <c r="P89" s="4">
        <v>5</v>
      </c>
      <c r="Q89" s="4">
        <v>0.6100000000000001</v>
      </c>
      <c r="R89" s="4">
        <v>0.23763079315590013</v>
      </c>
      <c r="S89" s="4">
        <v>0.27754302586393059</v>
      </c>
      <c r="T89" s="4">
        <v>2.1156772913998863</v>
      </c>
      <c r="U89" s="4">
        <v>1.2344358459620768</v>
      </c>
      <c r="V89" s="4">
        <v>0.48012048312837174</v>
      </c>
      <c r="W89" s="4">
        <v>0.34548143583152457</v>
      </c>
      <c r="Z89" s="4">
        <v>5.3259280444562983E-2</v>
      </c>
      <c r="AA89" s="4">
        <v>0.99303286793422207</v>
      </c>
    </row>
    <row r="90" spans="1:27" x14ac:dyDescent="0.25">
      <c r="A90" s="4" t="s">
        <v>170</v>
      </c>
      <c r="B90" s="4" t="s">
        <v>30</v>
      </c>
      <c r="C90" s="4" t="s">
        <v>33</v>
      </c>
      <c r="D90" s="4" t="s">
        <v>32</v>
      </c>
      <c r="E90" s="4" t="s">
        <v>53</v>
      </c>
      <c r="F90" s="4">
        <v>70</v>
      </c>
      <c r="H90" s="5" t="s">
        <v>276</v>
      </c>
      <c r="J90" s="4">
        <v>0.2</v>
      </c>
      <c r="K90" s="4">
        <v>20</v>
      </c>
      <c r="L90" s="4">
        <v>0.9</v>
      </c>
      <c r="O90" s="4">
        <v>0</v>
      </c>
      <c r="P90" s="4">
        <v>5</v>
      </c>
      <c r="Q90" s="4">
        <v>0.6100000000000001</v>
      </c>
      <c r="R90" s="4">
        <v>6.2561313007578181E-2</v>
      </c>
      <c r="S90" s="4">
        <v>2.7921375428465789E-2</v>
      </c>
      <c r="T90" s="4">
        <v>3.4511666782842934</v>
      </c>
      <c r="U90" s="4">
        <v>1.6039523631039416</v>
      </c>
      <c r="V90" s="4">
        <v>0.74019689926474219</v>
      </c>
      <c r="W90" s="4">
        <v>0.16760125887693697</v>
      </c>
      <c r="Z90" s="4">
        <v>8.2857823905825773E-2</v>
      </c>
      <c r="AA90" s="4">
        <v>0.98320166862133507</v>
      </c>
    </row>
    <row r="91" spans="1:27" x14ac:dyDescent="0.25">
      <c r="A91" s="4" t="s">
        <v>171</v>
      </c>
      <c r="B91" s="4" t="s">
        <v>34</v>
      </c>
      <c r="C91" s="4" t="s">
        <v>35</v>
      </c>
      <c r="D91" s="4" t="s">
        <v>29</v>
      </c>
      <c r="F91" s="4">
        <v>10</v>
      </c>
      <c r="H91" s="5" t="s">
        <v>276</v>
      </c>
      <c r="J91" s="4">
        <v>0.2</v>
      </c>
      <c r="K91" s="4">
        <v>20</v>
      </c>
      <c r="L91" s="4">
        <v>0.9</v>
      </c>
      <c r="O91" s="4">
        <v>0</v>
      </c>
      <c r="P91" s="4">
        <v>9</v>
      </c>
      <c r="Q91" s="4">
        <v>0.755</v>
      </c>
      <c r="R91" s="4">
        <v>8.2267583521632756E-2</v>
      </c>
      <c r="S91" s="4">
        <v>2.0998487186327853E-3</v>
      </c>
      <c r="T91" s="4">
        <v>15.126388003722845</v>
      </c>
      <c r="U91" s="4">
        <v>0.99534747408860358</v>
      </c>
      <c r="V91" s="4">
        <v>0.72206071827604423</v>
      </c>
      <c r="W91" s="4">
        <v>1.3434469106233778E-2</v>
      </c>
      <c r="Z91" s="4">
        <v>1.682369095958141E-2</v>
      </c>
      <c r="AA91" s="4">
        <v>0.99862610546410668</v>
      </c>
    </row>
    <row r="92" spans="1:27" x14ac:dyDescent="0.25">
      <c r="A92" s="4" t="s">
        <v>172</v>
      </c>
      <c r="B92" s="4" t="s">
        <v>34</v>
      </c>
      <c r="C92" s="4" t="s">
        <v>35</v>
      </c>
      <c r="D92" s="4" t="s">
        <v>29</v>
      </c>
      <c r="F92" s="4">
        <v>20</v>
      </c>
      <c r="H92" s="5" t="s">
        <v>276</v>
      </c>
      <c r="J92" s="4">
        <v>0.2</v>
      </c>
      <c r="K92" s="4">
        <v>20</v>
      </c>
      <c r="L92" s="4">
        <v>0.9</v>
      </c>
      <c r="O92" s="4">
        <v>0</v>
      </c>
      <c r="P92" s="4">
        <v>9</v>
      </c>
      <c r="Q92" s="4">
        <v>0.73799999999999999</v>
      </c>
      <c r="R92" s="4">
        <v>8.0098901989604093E-2</v>
      </c>
      <c r="S92" s="4">
        <v>1.6668411680362564E-3</v>
      </c>
      <c r="T92" s="4">
        <v>13.484987817798405</v>
      </c>
      <c r="U92" s="4">
        <v>0.66902060998778656</v>
      </c>
      <c r="V92" s="4">
        <v>0.73375053364891263</v>
      </c>
      <c r="W92" s="4">
        <v>1.1054712755707781E-2</v>
      </c>
      <c r="Z92" s="4">
        <v>1.3355953025386037E-2</v>
      </c>
      <c r="AA92" s="4">
        <v>0.9991584736423228</v>
      </c>
    </row>
    <row r="93" spans="1:27" x14ac:dyDescent="0.25">
      <c r="A93" s="4" t="s">
        <v>173</v>
      </c>
      <c r="B93" s="4" t="s">
        <v>34</v>
      </c>
      <c r="C93" s="4" t="s">
        <v>35</v>
      </c>
      <c r="D93" s="4" t="s">
        <v>29</v>
      </c>
      <c r="F93" s="4">
        <v>30</v>
      </c>
      <c r="H93" s="5" t="s">
        <v>276</v>
      </c>
      <c r="J93" s="4">
        <v>0.2</v>
      </c>
      <c r="K93" s="4">
        <v>20</v>
      </c>
      <c r="L93" s="4">
        <v>0.9</v>
      </c>
      <c r="O93" s="4">
        <v>0</v>
      </c>
      <c r="P93" s="4">
        <v>9</v>
      </c>
      <c r="Q93" s="4">
        <v>0.72299999999999998</v>
      </c>
      <c r="R93" s="4">
        <v>7.8055574904167799E-2</v>
      </c>
      <c r="S93" s="4">
        <v>1.5773731123091947E-3</v>
      </c>
      <c r="T93" s="4">
        <v>12.008987526929399</v>
      </c>
      <c r="U93" s="4">
        <v>0.52480386778483812</v>
      </c>
      <c r="V93" s="4">
        <v>0.74037407466865501</v>
      </c>
      <c r="W93" s="4">
        <v>1.0840715738463817E-2</v>
      </c>
      <c r="Z93" s="4">
        <v>1.2465464019901971E-2</v>
      </c>
      <c r="AA93" s="4">
        <v>0.99929563971308233</v>
      </c>
    </row>
    <row r="94" spans="1:27" x14ac:dyDescent="0.25">
      <c r="A94" s="4" t="s">
        <v>174</v>
      </c>
      <c r="B94" s="4" t="s">
        <v>36</v>
      </c>
      <c r="C94" s="4" t="s">
        <v>37</v>
      </c>
      <c r="D94" s="4" t="s">
        <v>32</v>
      </c>
      <c r="E94" s="4" t="s">
        <v>53</v>
      </c>
      <c r="F94" s="4">
        <v>20</v>
      </c>
      <c r="H94" s="5" t="s">
        <v>276</v>
      </c>
      <c r="J94" s="4">
        <v>0.2</v>
      </c>
      <c r="K94" s="4">
        <v>20</v>
      </c>
      <c r="L94" s="4">
        <v>0.9</v>
      </c>
      <c r="O94" s="4">
        <v>0</v>
      </c>
      <c r="P94" s="4">
        <v>6</v>
      </c>
      <c r="Q94" s="4">
        <v>0.85199999999999998</v>
      </c>
      <c r="R94" s="4">
        <v>7.4289003392447997E-2</v>
      </c>
      <c r="S94" s="4">
        <v>5.3197896630488729E-3</v>
      </c>
      <c r="T94" s="4">
        <v>12.822026910303761</v>
      </c>
      <c r="U94" s="4">
        <v>2.6444159235469029</v>
      </c>
      <c r="V94" s="4">
        <v>0.79635616614314064</v>
      </c>
      <c r="W94" s="4">
        <v>2.3773584085012369E-2</v>
      </c>
      <c r="Z94" s="4">
        <v>5.474881463785098E-2</v>
      </c>
      <c r="AA94" s="4">
        <v>0.99385873809184544</v>
      </c>
    </row>
    <row r="95" spans="1:27" x14ac:dyDescent="0.25">
      <c r="A95" s="4" t="s">
        <v>175</v>
      </c>
      <c r="B95" s="4" t="s">
        <v>36</v>
      </c>
      <c r="C95" s="4" t="s">
        <v>37</v>
      </c>
      <c r="D95" s="4" t="s">
        <v>32</v>
      </c>
      <c r="E95" s="4" t="s">
        <v>53</v>
      </c>
      <c r="F95" s="4">
        <v>30</v>
      </c>
      <c r="H95" s="5" t="s">
        <v>276</v>
      </c>
      <c r="J95" s="4">
        <v>0.2</v>
      </c>
      <c r="K95" s="4">
        <v>20</v>
      </c>
      <c r="L95" s="4">
        <v>0.9</v>
      </c>
      <c r="O95" s="4">
        <v>0</v>
      </c>
      <c r="P95" s="4">
        <v>6</v>
      </c>
      <c r="Q95" s="4">
        <v>0.85199999999999998</v>
      </c>
      <c r="R95" s="4">
        <v>6.7305165742861342E-2</v>
      </c>
      <c r="S95" s="4">
        <v>4.7740975769622919E-3</v>
      </c>
      <c r="T95" s="4">
        <v>10.552984184207361</v>
      </c>
      <c r="U95" s="4">
        <v>1.9373441193014287</v>
      </c>
      <c r="V95" s="4">
        <v>0.80564306560119958</v>
      </c>
      <c r="W95" s="4">
        <v>2.2406958488100547E-2</v>
      </c>
      <c r="Z95" s="4">
        <v>5.3199947602761213E-2</v>
      </c>
      <c r="AA95" s="4">
        <v>0.99484096948626277</v>
      </c>
    </row>
    <row r="96" spans="1:27" x14ac:dyDescent="0.25">
      <c r="A96" s="4" t="s">
        <v>176</v>
      </c>
      <c r="B96" s="4" t="s">
        <v>36</v>
      </c>
      <c r="C96" s="4" t="s">
        <v>37</v>
      </c>
      <c r="D96" s="4" t="s">
        <v>32</v>
      </c>
      <c r="E96" s="4" t="s">
        <v>53</v>
      </c>
      <c r="F96" s="4">
        <v>40</v>
      </c>
      <c r="H96" s="5" t="s">
        <v>276</v>
      </c>
      <c r="J96" s="4">
        <v>0.2</v>
      </c>
      <c r="K96" s="4">
        <v>20</v>
      </c>
      <c r="L96" s="4">
        <v>0.9</v>
      </c>
      <c r="O96" s="4">
        <v>0</v>
      </c>
      <c r="P96" s="4">
        <v>6</v>
      </c>
      <c r="Q96" s="4">
        <v>0.85199999999999998</v>
      </c>
      <c r="R96" s="4">
        <v>6.5014902528630181E-2</v>
      </c>
      <c r="S96" s="4">
        <v>1.267673804492063E-3</v>
      </c>
      <c r="T96" s="4">
        <v>9.9170986471132156</v>
      </c>
      <c r="U96" s="4">
        <v>0.46803898766744051</v>
      </c>
      <c r="V96" s="4">
        <v>0.79446277580977176</v>
      </c>
      <c r="W96" s="4">
        <v>6.3154656513544219E-3</v>
      </c>
      <c r="Z96" s="4">
        <v>1.4013824197221962E-2</v>
      </c>
      <c r="AA96" s="4">
        <v>0.99963877639899745</v>
      </c>
    </row>
    <row r="97" spans="1:27" x14ac:dyDescent="0.25">
      <c r="A97" s="4" t="s">
        <v>177</v>
      </c>
      <c r="B97" s="4" t="s">
        <v>36</v>
      </c>
      <c r="C97" s="4" t="s">
        <v>37</v>
      </c>
      <c r="D97" s="4" t="s">
        <v>32</v>
      </c>
      <c r="E97" s="4" t="s">
        <v>53</v>
      </c>
      <c r="F97" s="4">
        <v>50</v>
      </c>
      <c r="H97" s="5" t="s">
        <v>276</v>
      </c>
      <c r="J97" s="4">
        <v>0.2</v>
      </c>
      <c r="K97" s="4">
        <v>20</v>
      </c>
      <c r="L97" s="4">
        <v>0.9</v>
      </c>
      <c r="O97" s="4">
        <v>0</v>
      </c>
      <c r="P97" s="4">
        <v>6</v>
      </c>
      <c r="Q97" s="4">
        <v>0.85199999999999998</v>
      </c>
      <c r="R97" s="4">
        <v>5.4474278571326876E-2</v>
      </c>
      <c r="S97" s="4">
        <v>4.5066674493164727E-3</v>
      </c>
      <c r="T97" s="4">
        <v>11.928897646102435</v>
      </c>
      <c r="U97" s="4">
        <v>2.5878060809172498</v>
      </c>
      <c r="V97" s="4">
        <v>0.77776437660526199</v>
      </c>
      <c r="W97" s="4">
        <v>2.8701536560100285E-2</v>
      </c>
      <c r="Z97" s="4">
        <v>5.9659807264880071E-2</v>
      </c>
      <c r="AA97" s="4">
        <v>0.99247386354476563</v>
      </c>
    </row>
    <row r="98" spans="1:27" x14ac:dyDescent="0.25">
      <c r="A98" s="4" t="s">
        <v>178</v>
      </c>
      <c r="B98" s="4" t="s">
        <v>36</v>
      </c>
      <c r="C98" s="4" t="s">
        <v>37</v>
      </c>
      <c r="D98" s="4" t="s">
        <v>32</v>
      </c>
      <c r="E98" s="4" t="s">
        <v>54</v>
      </c>
      <c r="F98" s="4">
        <v>20</v>
      </c>
      <c r="H98" s="5" t="s">
        <v>276</v>
      </c>
      <c r="J98" s="4">
        <v>0.2</v>
      </c>
      <c r="K98" s="4">
        <v>20</v>
      </c>
      <c r="L98" s="4">
        <v>0.9</v>
      </c>
      <c r="O98" s="4">
        <v>1</v>
      </c>
      <c r="P98" s="4">
        <v>6</v>
      </c>
      <c r="Q98" s="4">
        <v>0.85199999999999998</v>
      </c>
      <c r="R98" s="4">
        <v>7.6957984222582931E-2</v>
      </c>
      <c r="S98" s="4">
        <v>6.886322002182213E-3</v>
      </c>
      <c r="T98" s="4">
        <v>34.465845770256863</v>
      </c>
      <c r="U98" s="4">
        <v>19.180704845664195</v>
      </c>
      <c r="V98" s="4">
        <v>0.80229729153386864</v>
      </c>
      <c r="W98" s="4">
        <v>3.128421456877737E-2</v>
      </c>
      <c r="Z98" s="4">
        <v>7.9034314320670818E-2</v>
      </c>
      <c r="AA98" s="4">
        <v>0.98264157611764447</v>
      </c>
    </row>
    <row r="99" spans="1:27" x14ac:dyDescent="0.25">
      <c r="A99" s="4" t="s">
        <v>179</v>
      </c>
      <c r="B99" s="4" t="s">
        <v>36</v>
      </c>
      <c r="C99" s="4" t="s">
        <v>37</v>
      </c>
      <c r="D99" s="4" t="s">
        <v>32</v>
      </c>
      <c r="E99" s="4" t="s">
        <v>54</v>
      </c>
      <c r="F99" s="4">
        <v>30</v>
      </c>
      <c r="H99" s="5" t="s">
        <v>276</v>
      </c>
      <c r="J99" s="4">
        <v>0.2</v>
      </c>
      <c r="K99" s="4">
        <v>20</v>
      </c>
      <c r="L99" s="4">
        <v>0.9</v>
      </c>
      <c r="O99" s="4">
        <v>0</v>
      </c>
      <c r="P99" s="4">
        <v>6</v>
      </c>
      <c r="Q99" s="4">
        <v>0.85199999999999998</v>
      </c>
      <c r="R99" s="4">
        <v>7.5787840173404966E-2</v>
      </c>
      <c r="S99" s="4">
        <v>6.6995735622310511E-3</v>
      </c>
      <c r="T99" s="4">
        <v>26.982680717282076</v>
      </c>
      <c r="U99" s="4">
        <v>11.812631874024365</v>
      </c>
      <c r="V99" s="4">
        <v>0.79076655513429506</v>
      </c>
      <c r="W99" s="4">
        <v>3.1649676705390324E-2</v>
      </c>
      <c r="Z99" s="4">
        <v>7.4609831859948725E-2</v>
      </c>
      <c r="AA99" s="4">
        <v>0.98474882112252493</v>
      </c>
    </row>
    <row r="100" spans="1:27" x14ac:dyDescent="0.25">
      <c r="A100" s="4" t="s">
        <v>180</v>
      </c>
      <c r="B100" s="4" t="s">
        <v>36</v>
      </c>
      <c r="C100" s="4" t="s">
        <v>37</v>
      </c>
      <c r="D100" s="4" t="s">
        <v>32</v>
      </c>
      <c r="E100" s="4" t="s">
        <v>54</v>
      </c>
      <c r="F100" s="4">
        <v>40</v>
      </c>
      <c r="H100" s="5" t="s">
        <v>276</v>
      </c>
      <c r="J100" s="4">
        <v>0.2</v>
      </c>
      <c r="K100" s="4">
        <v>20</v>
      </c>
      <c r="L100" s="4">
        <v>0.9</v>
      </c>
      <c r="O100" s="4">
        <v>1</v>
      </c>
      <c r="P100" s="4">
        <v>6</v>
      </c>
      <c r="Q100" s="4">
        <v>0.85199999999999998</v>
      </c>
      <c r="R100" s="4">
        <v>6.9069231368136544E-2</v>
      </c>
      <c r="S100" s="4">
        <v>6.9795335715044015E-3</v>
      </c>
      <c r="T100" s="4">
        <v>26.104685645243368</v>
      </c>
      <c r="U100" s="4">
        <v>13.092830380386298</v>
      </c>
      <c r="V100" s="4">
        <v>0.80317089893069693</v>
      </c>
      <c r="W100" s="4">
        <v>3.4745321699680719E-2</v>
      </c>
      <c r="Z100" s="4">
        <v>8.7125880128810854E-2</v>
      </c>
      <c r="AA100" s="4">
        <v>0.98056389006166633</v>
      </c>
    </row>
    <row r="101" spans="1:27" x14ac:dyDescent="0.25">
      <c r="A101" s="4" t="s">
        <v>181</v>
      </c>
      <c r="B101" s="4" t="s">
        <v>36</v>
      </c>
      <c r="C101" s="4" t="s">
        <v>37</v>
      </c>
      <c r="D101" s="4" t="s">
        <v>32</v>
      </c>
      <c r="E101" s="4" t="s">
        <v>54</v>
      </c>
      <c r="F101" s="4">
        <v>50</v>
      </c>
      <c r="H101" s="5" t="s">
        <v>276</v>
      </c>
      <c r="J101" s="4">
        <v>0.2</v>
      </c>
      <c r="K101" s="4">
        <v>20</v>
      </c>
      <c r="L101" s="4">
        <v>0.9</v>
      </c>
      <c r="O101" s="4">
        <v>0</v>
      </c>
      <c r="P101" s="4">
        <v>6</v>
      </c>
      <c r="Q101" s="4">
        <v>0.85199999999999998</v>
      </c>
      <c r="R101" s="4">
        <v>5.7086618430542482E-2</v>
      </c>
      <c r="S101" s="4">
        <v>2.679982766128321E-3</v>
      </c>
      <c r="T101" s="4">
        <v>35.913225869901154</v>
      </c>
      <c r="U101" s="4">
        <v>11.75947052929299</v>
      </c>
      <c r="V101" s="4">
        <v>0.83703509881431926</v>
      </c>
      <c r="W101" s="4">
        <v>1.4540732965942211E-2</v>
      </c>
      <c r="Z101" s="4">
        <v>4.4616574531418852E-2</v>
      </c>
      <c r="AA101" s="4">
        <v>0.99529228775857792</v>
      </c>
    </row>
    <row r="102" spans="1:27" x14ac:dyDescent="0.25">
      <c r="A102" s="4" t="s">
        <v>182</v>
      </c>
      <c r="B102" s="4" t="s">
        <v>38</v>
      </c>
      <c r="C102" s="4" t="s">
        <v>39</v>
      </c>
      <c r="D102" s="4" t="s">
        <v>32</v>
      </c>
      <c r="E102" s="4" t="s">
        <v>53</v>
      </c>
      <c r="F102" s="4">
        <v>20</v>
      </c>
      <c r="H102" s="5" t="s">
        <v>276</v>
      </c>
      <c r="J102" s="4">
        <v>0.2</v>
      </c>
      <c r="K102" s="4">
        <v>20</v>
      </c>
      <c r="L102" s="4">
        <v>0.9</v>
      </c>
      <c r="O102" s="4">
        <v>0</v>
      </c>
      <c r="P102" s="4">
        <v>6</v>
      </c>
      <c r="Q102" s="4">
        <v>0.85199999999999998</v>
      </c>
      <c r="R102" s="4">
        <v>8.0129078140380408E-2</v>
      </c>
      <c r="S102" s="4">
        <v>1.1802613393755362E-2</v>
      </c>
      <c r="T102" s="4">
        <v>9.036420808835107</v>
      </c>
      <c r="U102" s="4">
        <v>2.8914089799973413</v>
      </c>
      <c r="V102" s="4">
        <v>0.77417966662936311</v>
      </c>
      <c r="W102" s="4">
        <v>4.9727795737949498E-2</v>
      </c>
      <c r="Z102" s="4">
        <v>9.8195625718907775E-2</v>
      </c>
      <c r="AA102" s="4">
        <v>0.98218950315415532</v>
      </c>
    </row>
    <row r="103" spans="1:27" x14ac:dyDescent="0.25">
      <c r="A103" s="4" t="s">
        <v>183</v>
      </c>
      <c r="B103" s="4" t="s">
        <v>38</v>
      </c>
      <c r="C103" s="4" t="s">
        <v>39</v>
      </c>
      <c r="D103" s="4" t="s">
        <v>32</v>
      </c>
      <c r="E103" s="4" t="s">
        <v>53</v>
      </c>
      <c r="F103" s="4">
        <v>30</v>
      </c>
      <c r="H103" s="5" t="s">
        <v>276</v>
      </c>
      <c r="J103" s="4">
        <v>0.2</v>
      </c>
      <c r="K103" s="4">
        <v>20</v>
      </c>
      <c r="L103" s="4">
        <v>0.9</v>
      </c>
      <c r="O103" s="4">
        <v>0</v>
      </c>
      <c r="P103" s="4">
        <v>6</v>
      </c>
      <c r="Q103" s="4">
        <v>0.85199999999999998</v>
      </c>
      <c r="R103" s="4">
        <v>6.9015703950286181E-2</v>
      </c>
      <c r="S103" s="4">
        <v>8.678675539242911E-3</v>
      </c>
      <c r="T103" s="4">
        <v>7.7182310028783236</v>
      </c>
      <c r="U103" s="4">
        <v>1.9138492325971401</v>
      </c>
      <c r="V103" s="4">
        <v>0.77361705407503045</v>
      </c>
      <c r="W103" s="4">
        <v>4.1484184065126953E-2</v>
      </c>
      <c r="Z103" s="4">
        <v>7.986047806802575E-2</v>
      </c>
      <c r="AA103" s="4">
        <v>0.98899564007081087</v>
      </c>
    </row>
    <row r="104" spans="1:27" x14ac:dyDescent="0.25">
      <c r="A104" s="4" t="s">
        <v>184</v>
      </c>
      <c r="B104" s="4" t="s">
        <v>38</v>
      </c>
      <c r="C104" s="4" t="s">
        <v>39</v>
      </c>
      <c r="D104" s="4" t="s">
        <v>32</v>
      </c>
      <c r="E104" s="4" t="s">
        <v>53</v>
      </c>
      <c r="F104" s="4">
        <v>40</v>
      </c>
      <c r="H104" s="5" t="s">
        <v>276</v>
      </c>
      <c r="J104" s="4">
        <v>0.2</v>
      </c>
      <c r="K104" s="4">
        <v>20</v>
      </c>
      <c r="L104" s="4">
        <v>0.9</v>
      </c>
      <c r="O104" s="4">
        <v>0</v>
      </c>
      <c r="P104" s="4">
        <v>6</v>
      </c>
      <c r="Q104" s="4">
        <v>0.85199999999999998</v>
      </c>
      <c r="R104" s="4">
        <v>6.6703969475227998E-2</v>
      </c>
      <c r="S104" s="4">
        <v>6.2666152395937421E-3</v>
      </c>
      <c r="T104" s="4">
        <v>7.9810360066210899</v>
      </c>
      <c r="U104" s="4">
        <v>1.5011647894071243</v>
      </c>
      <c r="V104" s="4">
        <v>0.77174567169523667</v>
      </c>
      <c r="W104" s="4">
        <v>3.1305316376078494E-2</v>
      </c>
      <c r="Z104" s="4">
        <v>5.9998930404630071E-2</v>
      </c>
      <c r="AA104" s="4">
        <v>0.9936275617514404</v>
      </c>
    </row>
    <row r="105" spans="1:27" x14ac:dyDescent="0.25">
      <c r="A105" s="4" t="s">
        <v>185</v>
      </c>
      <c r="B105" s="4" t="s">
        <v>38</v>
      </c>
      <c r="C105" s="4" t="s">
        <v>39</v>
      </c>
      <c r="D105" s="4" t="s">
        <v>32</v>
      </c>
      <c r="E105" s="4" t="s">
        <v>53</v>
      </c>
      <c r="F105" s="4">
        <v>50</v>
      </c>
      <c r="H105" s="5" t="s">
        <v>276</v>
      </c>
      <c r="J105" s="4">
        <v>0.2</v>
      </c>
      <c r="K105" s="4">
        <v>20</v>
      </c>
      <c r="L105" s="4">
        <v>0.9</v>
      </c>
      <c r="O105" s="4">
        <v>0</v>
      </c>
      <c r="P105" s="4">
        <v>6</v>
      </c>
      <c r="Q105" s="4">
        <v>0.85199999999999998</v>
      </c>
      <c r="R105" s="4">
        <v>4.4824646969971446E-2</v>
      </c>
      <c r="S105" s="4">
        <v>1.7053532026240481E-3</v>
      </c>
      <c r="T105" s="4">
        <v>11.224928428962921</v>
      </c>
      <c r="U105" s="4">
        <v>1.1904680833846548</v>
      </c>
      <c r="V105" s="4">
        <v>0.81974347734296937</v>
      </c>
      <c r="W105" s="4">
        <v>1.1575812581522358E-2</v>
      </c>
      <c r="Z105" s="4">
        <v>2.9956913140609529E-2</v>
      </c>
      <c r="AA105" s="4">
        <v>0.99840553169269308</v>
      </c>
    </row>
    <row r="106" spans="1:27" x14ac:dyDescent="0.25">
      <c r="A106" s="4" t="s">
        <v>186</v>
      </c>
      <c r="B106" s="4" t="s">
        <v>38</v>
      </c>
      <c r="C106" s="4" t="s">
        <v>39</v>
      </c>
      <c r="D106" s="4" t="s">
        <v>32</v>
      </c>
      <c r="E106" s="4" t="s">
        <v>54</v>
      </c>
      <c r="F106" s="4">
        <v>20</v>
      </c>
      <c r="H106" s="5" t="s">
        <v>276</v>
      </c>
      <c r="J106" s="4">
        <v>0.2</v>
      </c>
      <c r="K106" s="4">
        <v>20</v>
      </c>
      <c r="L106" s="4">
        <v>0.9</v>
      </c>
      <c r="O106" s="4">
        <v>0</v>
      </c>
      <c r="P106" s="4">
        <v>6</v>
      </c>
      <c r="Q106" s="4">
        <v>0.85199999999999998</v>
      </c>
      <c r="R106" s="4">
        <v>9.8449360035010328E-2</v>
      </c>
      <c r="S106" s="4">
        <v>7.0001963649786152E-3</v>
      </c>
      <c r="T106" s="4">
        <v>10.815685026068268</v>
      </c>
      <c r="U106" s="4">
        <v>1.5782777034042761</v>
      </c>
      <c r="V106" s="4">
        <v>0.70616505330148438</v>
      </c>
      <c r="W106" s="4">
        <v>2.8600954293326881E-2</v>
      </c>
      <c r="Z106" s="4">
        <v>4.2515900163381588E-2</v>
      </c>
      <c r="AA106" s="4">
        <v>0.9955312903638549</v>
      </c>
    </row>
    <row r="107" spans="1:27" x14ac:dyDescent="0.25">
      <c r="A107" s="4" t="s">
        <v>187</v>
      </c>
      <c r="B107" s="4" t="s">
        <v>38</v>
      </c>
      <c r="C107" s="4" t="s">
        <v>39</v>
      </c>
      <c r="D107" s="4" t="s">
        <v>32</v>
      </c>
      <c r="E107" s="4" t="s">
        <v>54</v>
      </c>
      <c r="F107" s="4">
        <v>30</v>
      </c>
      <c r="H107" s="5" t="s">
        <v>276</v>
      </c>
      <c r="J107" s="4">
        <v>0.2</v>
      </c>
      <c r="K107" s="4">
        <v>20</v>
      </c>
      <c r="L107" s="4">
        <v>0.9</v>
      </c>
      <c r="O107" s="4">
        <v>0</v>
      </c>
      <c r="P107" s="4">
        <v>6</v>
      </c>
      <c r="Q107" s="4">
        <v>0.85199999999999998</v>
      </c>
      <c r="R107" s="4">
        <v>9.4589225415795106E-2</v>
      </c>
      <c r="S107" s="4">
        <v>2.2292852518977349E-2</v>
      </c>
      <c r="T107" s="4">
        <v>7.3728526215663752</v>
      </c>
      <c r="U107" s="4">
        <v>2.7065004939243416</v>
      </c>
      <c r="V107" s="4">
        <v>0.69300294720022271</v>
      </c>
      <c r="W107" s="4">
        <v>9.0672131715179627E-2</v>
      </c>
      <c r="Z107" s="4">
        <v>0.11963437193382785</v>
      </c>
      <c r="AA107" s="4">
        <v>0.97114218940747965</v>
      </c>
    </row>
    <row r="108" spans="1:27" x14ac:dyDescent="0.25">
      <c r="A108" s="4" t="s">
        <v>188</v>
      </c>
      <c r="B108" s="4" t="s">
        <v>38</v>
      </c>
      <c r="C108" s="4" t="s">
        <v>39</v>
      </c>
      <c r="D108" s="4" t="s">
        <v>32</v>
      </c>
      <c r="E108" s="4" t="s">
        <v>54</v>
      </c>
      <c r="F108" s="4">
        <v>40</v>
      </c>
      <c r="H108" s="5" t="s">
        <v>276</v>
      </c>
      <c r="J108" s="4">
        <v>0.2</v>
      </c>
      <c r="K108" s="4">
        <v>20</v>
      </c>
      <c r="L108" s="4">
        <v>0.9</v>
      </c>
      <c r="O108" s="4">
        <v>0</v>
      </c>
      <c r="P108" s="4">
        <v>6</v>
      </c>
      <c r="Q108" s="4">
        <v>0.85199999999999998</v>
      </c>
      <c r="R108" s="4">
        <v>7.8842785979791746E-2</v>
      </c>
      <c r="S108" s="4">
        <v>1.4401085999829392E-2</v>
      </c>
      <c r="T108" s="4">
        <v>8.2295676184561248</v>
      </c>
      <c r="U108" s="4">
        <v>2.7836381722446268</v>
      </c>
      <c r="V108" s="4">
        <v>0.73357165229161758</v>
      </c>
      <c r="W108" s="4">
        <v>6.6615880427317947E-2</v>
      </c>
      <c r="Z108" s="4">
        <v>0.10692155905282744</v>
      </c>
      <c r="AA108" s="4">
        <v>0.97747573910518237</v>
      </c>
    </row>
    <row r="109" spans="1:27" x14ac:dyDescent="0.25">
      <c r="A109" s="4" t="s">
        <v>189</v>
      </c>
      <c r="B109" s="4" t="s">
        <v>38</v>
      </c>
      <c r="C109" s="4" t="s">
        <v>39</v>
      </c>
      <c r="D109" s="4" t="s">
        <v>32</v>
      </c>
      <c r="E109" s="4" t="s">
        <v>54</v>
      </c>
      <c r="F109" s="4">
        <v>50</v>
      </c>
      <c r="H109" s="5" t="s">
        <v>276</v>
      </c>
      <c r="J109" s="4">
        <v>0.2</v>
      </c>
      <c r="K109" s="4">
        <v>20</v>
      </c>
      <c r="L109" s="4">
        <v>0.9</v>
      </c>
      <c r="O109" s="4">
        <v>0</v>
      </c>
      <c r="P109" s="4">
        <v>6</v>
      </c>
      <c r="Q109" s="4">
        <v>0.85199999999999998</v>
      </c>
      <c r="R109" s="4">
        <v>8.2360105678885062E-2</v>
      </c>
      <c r="S109" s="4">
        <v>2.5968580350279075E-2</v>
      </c>
      <c r="T109" s="4">
        <v>3.9370396599791353</v>
      </c>
      <c r="U109" s="4">
        <v>1.4313063956669796</v>
      </c>
      <c r="V109" s="4">
        <v>0.70066013275039207</v>
      </c>
      <c r="W109" s="4">
        <v>0.10257987514850395</v>
      </c>
      <c r="Z109" s="4">
        <v>0.12029555875812968</v>
      </c>
      <c r="AA109" s="4">
        <v>0.98012866181256164</v>
      </c>
    </row>
    <row r="110" spans="1:27" x14ac:dyDescent="0.25">
      <c r="A110" s="4" t="s">
        <v>190</v>
      </c>
      <c r="B110" s="4" t="s">
        <v>28</v>
      </c>
      <c r="D110" s="4" t="s">
        <v>6</v>
      </c>
      <c r="E110" s="4" t="s">
        <v>54</v>
      </c>
      <c r="F110" s="4">
        <v>10</v>
      </c>
      <c r="H110" s="5" t="s">
        <v>276</v>
      </c>
      <c r="J110" s="4">
        <v>0.2</v>
      </c>
      <c r="K110" s="4">
        <v>20</v>
      </c>
      <c r="L110" s="4">
        <v>0.9</v>
      </c>
      <c r="O110" s="4">
        <v>0</v>
      </c>
      <c r="P110" s="4">
        <v>4</v>
      </c>
      <c r="Q110" s="4">
        <v>0.6967000000000001</v>
      </c>
      <c r="R110" s="4">
        <v>9.8856145826812028E-2</v>
      </c>
      <c r="S110" s="4">
        <v>6.6911786687867019E-4</v>
      </c>
      <c r="T110" s="4">
        <v>24.361406674236434</v>
      </c>
      <c r="U110" s="4">
        <v>0.44530510602227036</v>
      </c>
      <c r="V110" s="4">
        <v>0.68462206130463843</v>
      </c>
      <c r="W110" s="4">
        <v>4.269319136621064E-3</v>
      </c>
      <c r="Z110" s="4">
        <v>3.1183263391708332E-3</v>
      </c>
      <c r="AA110" s="4">
        <v>0.99995428745263304</v>
      </c>
    </row>
    <row r="111" spans="1:27" x14ac:dyDescent="0.25">
      <c r="A111" s="4" t="s">
        <v>191</v>
      </c>
      <c r="B111" s="4" t="s">
        <v>28</v>
      </c>
      <c r="D111" s="4" t="s">
        <v>6</v>
      </c>
      <c r="E111" s="4" t="s">
        <v>54</v>
      </c>
      <c r="F111" s="4">
        <v>20</v>
      </c>
      <c r="H111" s="5" t="s">
        <v>276</v>
      </c>
      <c r="J111" s="4">
        <v>0.2</v>
      </c>
      <c r="K111" s="4">
        <v>20</v>
      </c>
      <c r="L111" s="4">
        <v>0.9</v>
      </c>
      <c r="O111" s="4">
        <v>0</v>
      </c>
      <c r="P111" s="4">
        <v>4</v>
      </c>
      <c r="Q111" s="4">
        <v>0.63500000000000001</v>
      </c>
      <c r="R111" s="4">
        <v>0.1035490939206925</v>
      </c>
      <c r="S111" s="4">
        <v>1.7008076347920658E-2</v>
      </c>
      <c r="T111" s="4">
        <v>17.063076426452476</v>
      </c>
      <c r="U111" s="4">
        <v>4.6342779840861512</v>
      </c>
      <c r="V111" s="4">
        <v>0.63218108481329949</v>
      </c>
      <c r="W111" s="4">
        <v>0.11401952085363994</v>
      </c>
      <c r="Z111" s="4">
        <v>5.6931784080502319E-2</v>
      </c>
      <c r="AA111" s="4">
        <v>0.98381872028089001</v>
      </c>
    </row>
    <row r="112" spans="1:27" x14ac:dyDescent="0.25">
      <c r="A112" s="4" t="s">
        <v>192</v>
      </c>
      <c r="B112" s="4" t="s">
        <v>28</v>
      </c>
      <c r="D112" s="4" t="s">
        <v>6</v>
      </c>
      <c r="E112" s="4" t="s">
        <v>54</v>
      </c>
      <c r="F112" s="4">
        <v>30</v>
      </c>
      <c r="H112" s="5" t="s">
        <v>276</v>
      </c>
      <c r="J112" s="4">
        <v>0.2</v>
      </c>
      <c r="K112" s="4">
        <v>20</v>
      </c>
      <c r="L112" s="4">
        <v>0.9</v>
      </c>
      <c r="O112" s="4">
        <v>0</v>
      </c>
      <c r="P112" s="4">
        <v>4</v>
      </c>
      <c r="Q112" s="4">
        <v>0.64400000000000002</v>
      </c>
      <c r="R112" s="4">
        <v>0.11075665509293216</v>
      </c>
      <c r="S112" s="4">
        <v>1.7858493305256621E-3</v>
      </c>
      <c r="T112" s="4">
        <v>12.299618485431493</v>
      </c>
      <c r="U112" s="4">
        <v>0.21870099043311464</v>
      </c>
      <c r="V112" s="4">
        <v>0.58751397743126743</v>
      </c>
      <c r="W112" s="4">
        <v>1.0982667463841746E-2</v>
      </c>
      <c r="Z112" s="4">
        <v>5.1344032049795273E-3</v>
      </c>
      <c r="AA112" s="4">
        <v>0.9998942798210011</v>
      </c>
    </row>
    <row r="113" spans="1:27" x14ac:dyDescent="0.25">
      <c r="A113" s="4" t="s">
        <v>193</v>
      </c>
      <c r="B113" s="4" t="s">
        <v>28</v>
      </c>
      <c r="D113" s="4" t="s">
        <v>6</v>
      </c>
      <c r="E113" s="4" t="s">
        <v>54</v>
      </c>
      <c r="F113" s="4">
        <v>40</v>
      </c>
      <c r="H113" s="5" t="s">
        <v>276</v>
      </c>
      <c r="J113" s="4">
        <v>0.2</v>
      </c>
      <c r="K113" s="4">
        <v>20</v>
      </c>
      <c r="L113" s="4">
        <v>0.9</v>
      </c>
      <c r="O113" s="4">
        <v>0</v>
      </c>
      <c r="P113" s="4">
        <v>4</v>
      </c>
      <c r="Q113" s="4">
        <v>0.63900000000000001</v>
      </c>
      <c r="R113" s="4">
        <v>9.4044365298128013E-2</v>
      </c>
      <c r="S113" s="4">
        <v>2.0154504329457307E-3</v>
      </c>
      <c r="T113" s="4">
        <v>10.191164368655212</v>
      </c>
      <c r="U113" s="4">
        <v>0.27613545794830902</v>
      </c>
      <c r="V113" s="4">
        <v>0.67444240390645016</v>
      </c>
      <c r="W113" s="4">
        <v>1.320875282933834E-2</v>
      </c>
      <c r="Z113" s="4">
        <v>7.1259833939245768E-3</v>
      </c>
      <c r="AA113" s="4">
        <v>0.99983420588420868</v>
      </c>
    </row>
    <row r="114" spans="1:27" x14ac:dyDescent="0.25">
      <c r="A114" s="4" t="s">
        <v>194</v>
      </c>
      <c r="B114" s="4" t="s">
        <v>28</v>
      </c>
      <c r="D114" s="4" t="s">
        <v>6</v>
      </c>
      <c r="E114" s="4" t="s">
        <v>54</v>
      </c>
      <c r="F114" s="4">
        <v>50</v>
      </c>
      <c r="H114" s="5" t="s">
        <v>276</v>
      </c>
      <c r="J114" s="4">
        <v>0.2</v>
      </c>
      <c r="K114" s="4">
        <v>20</v>
      </c>
      <c r="L114" s="4">
        <v>0.9</v>
      </c>
      <c r="O114" s="4">
        <v>2</v>
      </c>
      <c r="P114" s="4">
        <v>4</v>
      </c>
      <c r="Q114" s="4">
        <v>0.63100000000000001</v>
      </c>
      <c r="R114" s="4">
        <v>1.4260523808359058</v>
      </c>
      <c r="S114" s="4">
        <v>141.1041721897538</v>
      </c>
      <c r="T114" s="4">
        <v>100.57762958949749</v>
      </c>
      <c r="U114" s="4">
        <v>456140.8849646023</v>
      </c>
      <c r="V114" s="4">
        <v>1.6960440983189932E-3</v>
      </c>
      <c r="W114" s="4">
        <v>7.8600158765941197</v>
      </c>
      <c r="Z114" s="4">
        <v>0.11659152798986526</v>
      </c>
      <c r="AA114" s="4">
        <v>0.97712398920442645</v>
      </c>
    </row>
    <row r="115" spans="1:27" x14ac:dyDescent="0.25">
      <c r="A115" s="4" t="s">
        <v>195</v>
      </c>
      <c r="B115" s="4" t="s">
        <v>28</v>
      </c>
      <c r="D115" s="4" t="s">
        <v>6</v>
      </c>
      <c r="E115" s="4" t="s">
        <v>53</v>
      </c>
      <c r="F115" s="4">
        <v>10</v>
      </c>
      <c r="H115" s="5" t="s">
        <v>276</v>
      </c>
      <c r="J115" s="4">
        <v>0.2</v>
      </c>
      <c r="K115" s="4">
        <v>20</v>
      </c>
      <c r="L115" s="4">
        <v>0.9</v>
      </c>
      <c r="O115" s="4">
        <v>0</v>
      </c>
      <c r="P115" s="4">
        <v>4</v>
      </c>
      <c r="Q115" s="4">
        <v>0.6967000000000001</v>
      </c>
      <c r="R115" s="4">
        <v>8.5508603930514446E-2</v>
      </c>
      <c r="S115" s="4">
        <v>1.8220486806319657E-3</v>
      </c>
      <c r="T115" s="4">
        <v>25.161931258786968</v>
      </c>
      <c r="U115" s="4">
        <v>1.698787088105757</v>
      </c>
      <c r="V115" s="4">
        <v>0.73674421536900625</v>
      </c>
      <c r="W115" s="4">
        <v>1.258060106878898E-2</v>
      </c>
      <c r="Z115" s="4">
        <v>1.0681211515482885E-2</v>
      </c>
      <c r="AA115" s="4">
        <v>0.9995186678067669</v>
      </c>
    </row>
    <row r="116" spans="1:27" x14ac:dyDescent="0.25">
      <c r="A116" s="4" t="s">
        <v>196</v>
      </c>
      <c r="B116" s="4" t="s">
        <v>28</v>
      </c>
      <c r="D116" s="4" t="s">
        <v>6</v>
      </c>
      <c r="E116" s="4" t="s">
        <v>53</v>
      </c>
      <c r="F116" s="4">
        <v>20</v>
      </c>
      <c r="H116" s="5" t="s">
        <v>276</v>
      </c>
      <c r="J116" s="4">
        <v>0.2</v>
      </c>
      <c r="K116" s="4">
        <v>20</v>
      </c>
      <c r="L116" s="4">
        <v>0.9</v>
      </c>
      <c r="O116" s="4">
        <v>0</v>
      </c>
      <c r="P116" s="4">
        <v>4</v>
      </c>
      <c r="Q116" s="4">
        <v>0.63500000000000001</v>
      </c>
      <c r="R116" s="4">
        <v>8.7760569525880336E-2</v>
      </c>
      <c r="S116" s="4">
        <v>1.3316200035759042E-2</v>
      </c>
      <c r="T116" s="4">
        <v>16.934449952915852</v>
      </c>
      <c r="U116" s="4">
        <v>5.2063902195526213</v>
      </c>
      <c r="V116" s="4">
        <v>0.70167002722502425</v>
      </c>
      <c r="W116" s="4">
        <v>9.912265908007048E-2</v>
      </c>
      <c r="Z116" s="4">
        <v>5.8721085648310738E-2</v>
      </c>
      <c r="AA116" s="4">
        <v>0.98460539968526828</v>
      </c>
    </row>
    <row r="117" spans="1:27" x14ac:dyDescent="0.25">
      <c r="A117" s="4" t="s">
        <v>197</v>
      </c>
      <c r="B117" s="4" t="s">
        <v>28</v>
      </c>
      <c r="D117" s="4" t="s">
        <v>6</v>
      </c>
      <c r="E117" s="4" t="s">
        <v>53</v>
      </c>
      <c r="F117" s="4">
        <v>30</v>
      </c>
      <c r="H117" s="5" t="s">
        <v>276</v>
      </c>
      <c r="J117" s="4">
        <v>0.2</v>
      </c>
      <c r="K117" s="4">
        <v>20</v>
      </c>
      <c r="L117" s="4">
        <v>0.9</v>
      </c>
      <c r="N117" s="4"/>
      <c r="O117" s="4">
        <v>0</v>
      </c>
      <c r="P117" s="4">
        <v>4</v>
      </c>
      <c r="Q117" s="4">
        <v>0.64400000000000002</v>
      </c>
      <c r="R117" s="4">
        <v>8.9923454848983606E-2</v>
      </c>
      <c r="S117" s="4">
        <v>1.2301185633958411E-3</v>
      </c>
      <c r="T117" s="4">
        <v>12.813376960240614</v>
      </c>
      <c r="U117" s="4">
        <v>0.2694346721572401</v>
      </c>
      <c r="V117" s="4">
        <v>0.67928906942500999</v>
      </c>
      <c r="W117" s="4">
        <v>8.8435761463507758E-3</v>
      </c>
      <c r="Z117" s="4">
        <v>5.2214748319994791E-3</v>
      </c>
      <c r="AA117" s="4">
        <v>0.99989762279142025</v>
      </c>
    </row>
    <row r="118" spans="1:27" x14ac:dyDescent="0.25">
      <c r="A118" s="4" t="s">
        <v>198</v>
      </c>
      <c r="B118" s="4" t="s">
        <v>28</v>
      </c>
      <c r="D118" s="4" t="s">
        <v>6</v>
      </c>
      <c r="E118" s="4" t="s">
        <v>53</v>
      </c>
      <c r="F118" s="4">
        <v>40</v>
      </c>
      <c r="H118" s="5" t="s">
        <v>276</v>
      </c>
      <c r="J118" s="4">
        <v>0.2</v>
      </c>
      <c r="K118" s="4">
        <v>20</v>
      </c>
      <c r="L118" s="4">
        <v>0.9</v>
      </c>
      <c r="O118" s="4">
        <v>0</v>
      </c>
      <c r="P118" s="4">
        <v>4</v>
      </c>
      <c r="Q118" s="4">
        <v>0.63900000000000001</v>
      </c>
      <c r="R118" s="4">
        <v>8.2976414819505101E-2</v>
      </c>
      <c r="S118" s="4">
        <v>3.5007784143470662E-3</v>
      </c>
      <c r="T118" s="4">
        <v>9.2581933113645345</v>
      </c>
      <c r="U118" s="4">
        <v>0.52305813244440991</v>
      </c>
      <c r="V118" s="4">
        <v>0.7174675084414166</v>
      </c>
      <c r="W118" s="4">
        <v>2.4625892403471291E-2</v>
      </c>
      <c r="Z118" s="4">
        <v>1.4631740703224471E-2</v>
      </c>
      <c r="AA118" s="4">
        <v>0.99937838068371054</v>
      </c>
    </row>
    <row r="119" spans="1:27" x14ac:dyDescent="0.25">
      <c r="A119" s="4" t="s">
        <v>199</v>
      </c>
      <c r="B119" s="4" t="s">
        <v>28</v>
      </c>
      <c r="D119" s="4" t="s">
        <v>6</v>
      </c>
      <c r="E119" s="4" t="s">
        <v>53</v>
      </c>
      <c r="F119" s="4">
        <v>50</v>
      </c>
      <c r="H119" s="5" t="s">
        <v>276</v>
      </c>
      <c r="J119" s="4">
        <v>0.2</v>
      </c>
      <c r="K119" s="4">
        <v>20</v>
      </c>
      <c r="L119" s="4">
        <v>0.9</v>
      </c>
      <c r="O119" s="4">
        <v>2</v>
      </c>
      <c r="P119" s="4">
        <v>4</v>
      </c>
      <c r="Q119" s="4">
        <v>0.63100000000000001</v>
      </c>
      <c r="R119" s="4">
        <v>25.956393552091829</v>
      </c>
      <c r="S119" s="4">
        <v>1544480.9872573912</v>
      </c>
      <c r="T119" s="4">
        <v>8.7408508215402192E-2</v>
      </c>
      <c r="U119" s="4">
        <v>4974.523221107489</v>
      </c>
      <c r="V119" s="4">
        <v>8.2749956278282133E-2</v>
      </c>
      <c r="W119" s="4">
        <v>214.48341876572735</v>
      </c>
      <c r="Z119" s="4">
        <v>0.16465623696456005</v>
      </c>
      <c r="AA119" s="4">
        <v>0.96380825129651782</v>
      </c>
    </row>
    <row r="120" spans="1:27" x14ac:dyDescent="0.25">
      <c r="A120" s="4" t="s">
        <v>200</v>
      </c>
      <c r="B120" s="4" t="s">
        <v>40</v>
      </c>
      <c r="C120" s="4" t="s">
        <v>41</v>
      </c>
      <c r="D120" s="4" t="s">
        <v>27</v>
      </c>
      <c r="F120" s="4">
        <v>5</v>
      </c>
      <c r="H120" s="5" t="s">
        <v>276</v>
      </c>
      <c r="J120" s="4">
        <v>0.2</v>
      </c>
      <c r="K120" s="4">
        <v>20</v>
      </c>
      <c r="L120" s="4">
        <v>0.9</v>
      </c>
      <c r="O120" s="4">
        <v>0</v>
      </c>
      <c r="P120" s="4">
        <v>8</v>
      </c>
      <c r="Q120" s="4">
        <v>0.95150000000000001</v>
      </c>
      <c r="R120" s="4">
        <v>2.9087573215015844E-2</v>
      </c>
      <c r="S120" s="4">
        <v>3.3636789291720836E-3</v>
      </c>
      <c r="T120" s="4">
        <v>64.423959938442124</v>
      </c>
      <c r="U120" s="4">
        <v>18.3806805996945</v>
      </c>
      <c r="V120" s="4">
        <v>0.94290661521898789</v>
      </c>
      <c r="W120" s="4">
        <v>2.5030679213459351E-2</v>
      </c>
      <c r="Z120" s="4">
        <v>0.20308655954863733</v>
      </c>
      <c r="AA120" s="4">
        <v>0.97528329968460903</v>
      </c>
    </row>
    <row r="121" spans="1:27" x14ac:dyDescent="0.25">
      <c r="A121" s="4" t="s">
        <v>201</v>
      </c>
      <c r="B121" s="4" t="s">
        <v>40</v>
      </c>
      <c r="C121" s="4" t="s">
        <v>41</v>
      </c>
      <c r="D121" s="4" t="s">
        <v>27</v>
      </c>
      <c r="F121" s="4">
        <v>20</v>
      </c>
      <c r="H121" s="5" t="s">
        <v>276</v>
      </c>
      <c r="J121" s="4">
        <v>0.2</v>
      </c>
      <c r="K121" s="4">
        <v>20</v>
      </c>
      <c r="L121" s="4">
        <v>0.9</v>
      </c>
      <c r="O121" s="4">
        <v>0</v>
      </c>
      <c r="P121" s="4">
        <v>8</v>
      </c>
      <c r="Q121" s="4">
        <v>0.95119999999999993</v>
      </c>
      <c r="R121" s="4">
        <v>3.1064458683159671E-2</v>
      </c>
      <c r="S121" s="4">
        <v>2.3314747396166432E-3</v>
      </c>
      <c r="T121" s="4">
        <v>23.231322471464356</v>
      </c>
      <c r="U121" s="4">
        <v>3.406610146204986</v>
      </c>
      <c r="V121" s="4">
        <v>0.92472373823200604</v>
      </c>
      <c r="W121" s="4">
        <v>1.7185936822375458E-2</v>
      </c>
      <c r="Z121" s="4">
        <v>0.11308663646147014</v>
      </c>
      <c r="AA121" s="4">
        <v>0.9937527603247065</v>
      </c>
    </row>
    <row r="122" spans="1:27" x14ac:dyDescent="0.25">
      <c r="A122" s="4" t="s">
        <v>202</v>
      </c>
      <c r="B122" s="4" t="s">
        <v>40</v>
      </c>
      <c r="C122" s="4" t="s">
        <v>41</v>
      </c>
      <c r="D122" s="4" t="s">
        <v>27</v>
      </c>
      <c r="F122" s="4">
        <v>40</v>
      </c>
      <c r="H122" s="5" t="s">
        <v>276</v>
      </c>
      <c r="J122" s="4">
        <v>0.2</v>
      </c>
      <c r="K122" s="4">
        <v>20</v>
      </c>
      <c r="L122" s="4">
        <v>0.9</v>
      </c>
      <c r="O122" s="4">
        <v>0</v>
      </c>
      <c r="P122" s="4">
        <v>8</v>
      </c>
      <c r="Q122" s="4">
        <v>0.94989999999999997</v>
      </c>
      <c r="R122" s="4">
        <v>3.1878538148594343E-2</v>
      </c>
      <c r="S122" s="4">
        <v>3.3389525446698553E-3</v>
      </c>
      <c r="T122" s="4">
        <v>11.237481074084668</v>
      </c>
      <c r="U122" s="4">
        <v>1.9328212688025654</v>
      </c>
      <c r="V122" s="4">
        <v>0.90086543514807649</v>
      </c>
      <c r="W122" s="4">
        <v>2.5548340572879923E-2</v>
      </c>
      <c r="Z122" s="4">
        <v>0.1311976245210294</v>
      </c>
      <c r="AA122" s="4">
        <v>0.99235200431964754</v>
      </c>
    </row>
    <row r="123" spans="1:27" x14ac:dyDescent="0.25">
      <c r="A123" s="4" t="s">
        <v>203</v>
      </c>
      <c r="B123" s="4" t="s">
        <v>40</v>
      </c>
      <c r="C123" s="4" t="s">
        <v>41</v>
      </c>
      <c r="D123" s="4" t="s">
        <v>27</v>
      </c>
      <c r="F123" s="4">
        <v>60</v>
      </c>
      <c r="H123" s="5" t="s">
        <v>276</v>
      </c>
      <c r="J123" s="4">
        <v>0.2</v>
      </c>
      <c r="K123" s="4">
        <v>20</v>
      </c>
      <c r="L123" s="4">
        <v>0.9</v>
      </c>
      <c r="O123" s="4">
        <v>0</v>
      </c>
      <c r="P123" s="4">
        <v>8</v>
      </c>
      <c r="Q123" s="4">
        <v>0.94769999999999999</v>
      </c>
      <c r="R123" s="4">
        <v>2.773981641146708E-2</v>
      </c>
      <c r="S123" s="4">
        <v>1.8474102098916814E-3</v>
      </c>
      <c r="T123" s="4">
        <v>10.742877896469819</v>
      </c>
      <c r="U123" s="4">
        <v>1.2236352571383933</v>
      </c>
      <c r="V123" s="4">
        <v>0.90712447233916904</v>
      </c>
      <c r="W123" s="4">
        <v>1.5434296950443158E-2</v>
      </c>
      <c r="Z123" s="4">
        <v>8.3635117795888864E-2</v>
      </c>
      <c r="AA123" s="4">
        <v>0.99660331329320495</v>
      </c>
    </row>
    <row r="124" spans="1:27" x14ac:dyDescent="0.25">
      <c r="A124" s="4" t="s">
        <v>204</v>
      </c>
      <c r="B124" s="4" t="s">
        <v>42</v>
      </c>
      <c r="D124" s="4" t="s">
        <v>43</v>
      </c>
      <c r="E124" s="4" t="s">
        <v>53</v>
      </c>
      <c r="F124" s="4">
        <v>25</v>
      </c>
      <c r="H124" s="5" t="s">
        <v>276</v>
      </c>
      <c r="J124" s="4">
        <v>0.2</v>
      </c>
      <c r="K124" s="4">
        <v>20</v>
      </c>
      <c r="L124" s="4">
        <v>0.9</v>
      </c>
      <c r="O124" s="4">
        <v>0</v>
      </c>
      <c r="P124" s="4">
        <v>8</v>
      </c>
      <c r="Q124" s="4">
        <v>0.84279999999999999</v>
      </c>
      <c r="R124" s="4">
        <v>5.3463792770102651E-2</v>
      </c>
      <c r="S124" s="4">
        <v>2.7246457590563403E-3</v>
      </c>
      <c r="T124" s="4">
        <v>6.7547035759007263</v>
      </c>
      <c r="U124" s="4">
        <v>0.63780592999489782</v>
      </c>
      <c r="V124" s="4">
        <v>0.76838994264080318</v>
      </c>
      <c r="W124" s="4">
        <v>1.7532077160607201E-2</v>
      </c>
      <c r="Z124" s="4">
        <v>3.312712490500043E-2</v>
      </c>
      <c r="AA124" s="4">
        <v>0.99777979265595762</v>
      </c>
    </row>
    <row r="125" spans="1:27" x14ac:dyDescent="0.25">
      <c r="A125" s="4" t="s">
        <v>205</v>
      </c>
      <c r="B125" s="4" t="s">
        <v>42</v>
      </c>
      <c r="D125" s="4" t="s">
        <v>43</v>
      </c>
      <c r="E125" s="4" t="s">
        <v>54</v>
      </c>
      <c r="F125" s="4">
        <v>25</v>
      </c>
      <c r="H125" s="5" t="s">
        <v>276</v>
      </c>
      <c r="J125" s="4">
        <v>0.2</v>
      </c>
      <c r="K125" s="4">
        <v>20</v>
      </c>
      <c r="L125" s="4">
        <v>0.9</v>
      </c>
      <c r="O125" s="4">
        <v>0</v>
      </c>
      <c r="P125" s="4">
        <v>8</v>
      </c>
      <c r="Q125" s="4">
        <v>0.84279999999999999</v>
      </c>
      <c r="R125" s="4">
        <v>7.2785798614874914E-2</v>
      </c>
      <c r="S125" s="4">
        <v>2.5818760382065272E-3</v>
      </c>
      <c r="T125" s="4">
        <v>17.377540112211911</v>
      </c>
      <c r="U125" s="4">
        <v>1.6635011891498042</v>
      </c>
      <c r="V125" s="4">
        <v>0.65741610834826003</v>
      </c>
      <c r="W125" s="4">
        <v>1.7356529057076815E-2</v>
      </c>
      <c r="Z125" s="4">
        <v>2.3878631185447845E-2</v>
      </c>
      <c r="AA125" s="4">
        <v>0.99745522071259829</v>
      </c>
    </row>
    <row r="126" spans="1:27" x14ac:dyDescent="0.25">
      <c r="A126" s="4" t="s">
        <v>206</v>
      </c>
      <c r="B126" s="4" t="s">
        <v>42</v>
      </c>
      <c r="D126" s="4" t="s">
        <v>43</v>
      </c>
      <c r="E126" s="4" t="s">
        <v>53</v>
      </c>
      <c r="F126" s="4">
        <v>30</v>
      </c>
      <c r="H126" s="5" t="s">
        <v>276</v>
      </c>
      <c r="J126" s="4">
        <v>0.2</v>
      </c>
      <c r="K126" s="4">
        <v>20</v>
      </c>
      <c r="L126" s="4">
        <v>0.9</v>
      </c>
      <c r="O126" s="4">
        <v>0</v>
      </c>
      <c r="P126" s="4">
        <v>8</v>
      </c>
      <c r="Q126" s="4">
        <v>0.84499999999999997</v>
      </c>
      <c r="R126" s="4">
        <v>5.5512948607009907E-2</v>
      </c>
      <c r="S126" s="4">
        <v>1.677767626279469E-3</v>
      </c>
      <c r="T126" s="4">
        <v>16.540643939641271</v>
      </c>
      <c r="U126" s="4">
        <v>1.837628421375058</v>
      </c>
      <c r="V126" s="4">
        <v>0.78978455497714728</v>
      </c>
      <c r="W126" s="4">
        <v>1.1097754108577452E-2</v>
      </c>
      <c r="Z126" s="4">
        <v>2.6515448189942316E-2</v>
      </c>
      <c r="AA126" s="4">
        <v>0.99799418322108402</v>
      </c>
    </row>
    <row r="127" spans="1:27" x14ac:dyDescent="0.25">
      <c r="A127" s="4" t="s">
        <v>207</v>
      </c>
      <c r="B127" s="4" t="s">
        <v>42</v>
      </c>
      <c r="D127" s="4" t="s">
        <v>43</v>
      </c>
      <c r="E127" s="4" t="s">
        <v>54</v>
      </c>
      <c r="F127" s="4">
        <v>30</v>
      </c>
      <c r="H127" s="5" t="s">
        <v>276</v>
      </c>
      <c r="J127" s="4">
        <v>0.2</v>
      </c>
      <c r="K127" s="4">
        <v>20</v>
      </c>
      <c r="L127" s="4">
        <v>0.9</v>
      </c>
      <c r="O127" s="4">
        <v>0</v>
      </c>
      <c r="P127" s="4">
        <v>8</v>
      </c>
      <c r="Q127" s="4">
        <v>0.84499999999999997</v>
      </c>
      <c r="R127" s="4">
        <v>7.8291548081613552E-2</v>
      </c>
      <c r="S127" s="4">
        <v>2.2248216845486462E-3</v>
      </c>
      <c r="T127" s="4">
        <v>21.471718837672384</v>
      </c>
      <c r="U127" s="4">
        <v>2.144327411654027</v>
      </c>
      <c r="V127" s="4">
        <v>0.68803971851623247</v>
      </c>
      <c r="W127" s="4">
        <v>1.3440057411980113E-2</v>
      </c>
      <c r="Z127" s="4">
        <v>2.1245229331356114E-2</v>
      </c>
      <c r="AA127" s="4">
        <v>0.99796278609112121</v>
      </c>
    </row>
    <row r="128" spans="1:27" x14ac:dyDescent="0.25">
      <c r="A128" s="4" t="s">
        <v>208</v>
      </c>
      <c r="B128" s="4" t="s">
        <v>42</v>
      </c>
      <c r="D128" s="4" t="s">
        <v>43</v>
      </c>
      <c r="E128" s="4" t="s">
        <v>53</v>
      </c>
      <c r="F128" s="4">
        <v>35</v>
      </c>
      <c r="H128" s="5" t="s">
        <v>276</v>
      </c>
      <c r="J128" s="4">
        <v>0.2</v>
      </c>
      <c r="K128" s="4">
        <v>20</v>
      </c>
      <c r="L128" s="4">
        <v>0.9</v>
      </c>
      <c r="O128" s="4">
        <v>0</v>
      </c>
      <c r="P128" s="4">
        <v>8</v>
      </c>
      <c r="Q128" s="4">
        <v>0.86429999999999996</v>
      </c>
      <c r="R128" s="4">
        <v>5.4778502321296094E-2</v>
      </c>
      <c r="S128" s="4">
        <v>4.3005121286277554E-3</v>
      </c>
      <c r="T128" s="4">
        <v>10.107074192011664</v>
      </c>
      <c r="U128" s="4">
        <v>1.8760816906815092</v>
      </c>
      <c r="V128" s="4">
        <v>0.75234812798157846</v>
      </c>
      <c r="W128" s="4">
        <v>2.8526390803632899E-2</v>
      </c>
      <c r="Z128" s="4">
        <v>5.8839598700667683E-2</v>
      </c>
      <c r="AA128" s="4">
        <v>0.99155889730930391</v>
      </c>
    </row>
    <row r="129" spans="1:27" x14ac:dyDescent="0.25">
      <c r="A129" s="4" t="s">
        <v>209</v>
      </c>
      <c r="B129" s="4" t="s">
        <v>42</v>
      </c>
      <c r="D129" s="4" t="s">
        <v>43</v>
      </c>
      <c r="E129" s="4" t="s">
        <v>54</v>
      </c>
      <c r="F129" s="4">
        <v>35</v>
      </c>
      <c r="H129" s="5" t="s">
        <v>276</v>
      </c>
      <c r="J129" s="4">
        <v>0.2</v>
      </c>
      <c r="K129" s="4">
        <v>20</v>
      </c>
      <c r="L129" s="4">
        <v>0.9</v>
      </c>
      <c r="O129" s="4">
        <v>0</v>
      </c>
      <c r="P129" s="4">
        <v>8</v>
      </c>
      <c r="Q129" s="4">
        <v>0.86429999999999996</v>
      </c>
      <c r="R129" s="4">
        <v>6.7524185314753057E-2</v>
      </c>
      <c r="S129" s="4">
        <v>3.6606490686165684E-3</v>
      </c>
      <c r="T129" s="4">
        <v>18.763327259595748</v>
      </c>
      <c r="U129" s="4">
        <v>3.2087180309057257</v>
      </c>
      <c r="V129" s="4">
        <v>0.68645347897565823</v>
      </c>
      <c r="W129" s="4">
        <v>2.4520044833388377E-2</v>
      </c>
      <c r="Z129" s="4">
        <v>4.0719401709167484E-2</v>
      </c>
      <c r="AA129" s="4">
        <v>0.99335204301707003</v>
      </c>
    </row>
    <row r="130" spans="1:27" x14ac:dyDescent="0.25">
      <c r="A130" s="4" t="s">
        <v>210</v>
      </c>
      <c r="B130" s="4" t="s">
        <v>42</v>
      </c>
      <c r="D130" s="4" t="s">
        <v>43</v>
      </c>
      <c r="E130" s="4" t="s">
        <v>54</v>
      </c>
      <c r="F130" s="4">
        <v>35</v>
      </c>
      <c r="H130" s="5" t="s">
        <v>276</v>
      </c>
      <c r="J130" s="4">
        <v>0.2</v>
      </c>
      <c r="K130" s="4">
        <v>20</v>
      </c>
      <c r="L130" s="4">
        <v>0.9</v>
      </c>
      <c r="O130" s="4">
        <v>0</v>
      </c>
      <c r="P130" s="4">
        <v>10</v>
      </c>
      <c r="Q130" s="4">
        <v>0.74299999999999999</v>
      </c>
      <c r="R130" s="4">
        <v>6.9533866549872328E-2</v>
      </c>
      <c r="S130" s="4">
        <v>6.2809192389624994E-3</v>
      </c>
      <c r="T130" s="4">
        <v>10.13413018015668</v>
      </c>
      <c r="U130" s="4">
        <v>2.012868942493681</v>
      </c>
      <c r="V130" s="4">
        <v>0.76842388009057139</v>
      </c>
      <c r="W130" s="4">
        <v>4.1693320230015415E-2</v>
      </c>
      <c r="Z130" s="4">
        <v>6.1019772326258083E-2</v>
      </c>
      <c r="AA130" s="4">
        <v>0.98667682453712136</v>
      </c>
    </row>
    <row r="131" spans="1:27" x14ac:dyDescent="0.25">
      <c r="A131" s="4" t="s">
        <v>211</v>
      </c>
      <c r="B131" s="4" t="s">
        <v>42</v>
      </c>
      <c r="D131" s="4" t="s">
        <v>43</v>
      </c>
      <c r="E131" s="4" t="s">
        <v>53</v>
      </c>
      <c r="F131" s="4">
        <v>40</v>
      </c>
      <c r="H131" s="5" t="s">
        <v>276</v>
      </c>
      <c r="J131" s="4">
        <v>0.2</v>
      </c>
      <c r="K131" s="4">
        <v>20</v>
      </c>
      <c r="L131" s="4">
        <v>0.9</v>
      </c>
      <c r="O131" s="4">
        <v>0</v>
      </c>
      <c r="P131" s="4">
        <v>7</v>
      </c>
      <c r="Q131" s="4">
        <v>0.72519999999999996</v>
      </c>
      <c r="R131" s="4">
        <v>7.762763084908153E-2</v>
      </c>
      <c r="S131" s="4">
        <v>7.8039604222481509E-3</v>
      </c>
      <c r="T131" s="4">
        <v>8.3136114455247618</v>
      </c>
      <c r="U131" s="4">
        <v>0.70813835518731372</v>
      </c>
      <c r="V131" s="4">
        <v>0.54508972163787461</v>
      </c>
      <c r="W131" s="4">
        <v>5.4842716109372511E-2</v>
      </c>
      <c r="Z131" s="4">
        <v>3.0730445399592327E-2</v>
      </c>
      <c r="AA131" s="4">
        <v>0.99651882200453723</v>
      </c>
    </row>
    <row r="132" spans="1:27" x14ac:dyDescent="0.25">
      <c r="A132" s="4" t="s">
        <v>212</v>
      </c>
      <c r="B132" s="4" t="s">
        <v>42</v>
      </c>
      <c r="D132" s="4" t="s">
        <v>43</v>
      </c>
      <c r="E132" s="4" t="s">
        <v>54</v>
      </c>
      <c r="F132" s="4">
        <v>40</v>
      </c>
      <c r="H132" s="5" t="s">
        <v>276</v>
      </c>
      <c r="J132" s="4">
        <v>0.2</v>
      </c>
      <c r="K132" s="4">
        <v>20</v>
      </c>
      <c r="L132" s="4">
        <v>0.9</v>
      </c>
      <c r="O132" s="4">
        <v>0</v>
      </c>
      <c r="P132" s="4">
        <v>7</v>
      </c>
      <c r="Q132" s="4">
        <v>0.72519999999999996</v>
      </c>
      <c r="R132" s="4">
        <v>7.8188380092009249E-2</v>
      </c>
      <c r="S132" s="4">
        <v>4.816558084722632E-3</v>
      </c>
      <c r="T132" s="4">
        <v>14.456198621874906</v>
      </c>
      <c r="U132" s="4">
        <v>1.285793259665972</v>
      </c>
      <c r="V132" s="4">
        <v>0.56649156811529988</v>
      </c>
      <c r="W132" s="4">
        <v>3.785283701137767E-2</v>
      </c>
      <c r="Z132" s="4">
        <v>2.5794281370452456E-2</v>
      </c>
      <c r="AA132" s="4">
        <v>0.9964082110469985</v>
      </c>
    </row>
    <row r="133" spans="1:27" x14ac:dyDescent="0.25">
      <c r="A133" s="4" t="s">
        <v>213</v>
      </c>
      <c r="B133" s="4" t="s">
        <v>42</v>
      </c>
      <c r="D133" s="4" t="s">
        <v>43</v>
      </c>
      <c r="F133" s="4">
        <v>40</v>
      </c>
      <c r="H133" s="5" t="s">
        <v>276</v>
      </c>
      <c r="J133" s="4">
        <v>0.2</v>
      </c>
      <c r="K133" s="4">
        <v>20</v>
      </c>
      <c r="L133" s="4">
        <v>0.9</v>
      </c>
      <c r="O133" s="4">
        <v>0</v>
      </c>
      <c r="P133" s="4">
        <v>4</v>
      </c>
      <c r="Q133" s="4">
        <v>0.60000000000000009</v>
      </c>
      <c r="R133" s="4">
        <v>7.4888806606397518E-2</v>
      </c>
      <c r="S133" s="4">
        <v>7.9126124481642152E-3</v>
      </c>
      <c r="T133" s="4">
        <v>10.426704283816047</v>
      </c>
      <c r="U133" s="4">
        <v>2.6830159849915134</v>
      </c>
      <c r="V133" s="4">
        <v>0.76334875091961762</v>
      </c>
      <c r="W133" s="4">
        <v>4.9330175932257102E-2</v>
      </c>
      <c r="Z133" s="4">
        <v>3.2971923747691784E-2</v>
      </c>
      <c r="AA133" s="4">
        <v>0.99544028438898746</v>
      </c>
    </row>
    <row r="134" spans="1:27" x14ac:dyDescent="0.25">
      <c r="A134" s="4" t="s">
        <v>214</v>
      </c>
      <c r="B134" s="4" t="s">
        <v>42</v>
      </c>
      <c r="D134" s="4" t="s">
        <v>43</v>
      </c>
      <c r="E134" s="4" t="s">
        <v>53</v>
      </c>
      <c r="F134" s="4">
        <v>45</v>
      </c>
      <c r="H134" s="5" t="s">
        <v>276</v>
      </c>
      <c r="J134" s="4">
        <v>0.2</v>
      </c>
      <c r="K134" s="4">
        <v>20</v>
      </c>
      <c r="L134" s="4">
        <v>0.9</v>
      </c>
      <c r="O134" s="4">
        <v>0</v>
      </c>
      <c r="P134" s="4">
        <v>5</v>
      </c>
      <c r="Q134" s="4">
        <v>0.77249999999999996</v>
      </c>
      <c r="R134" s="4">
        <v>7.382815797775058E-2</v>
      </c>
      <c r="S134" s="4">
        <v>4.5829336304346368E-3</v>
      </c>
      <c r="T134" s="4">
        <v>7.6371892885080799</v>
      </c>
      <c r="U134" s="4">
        <v>0.73446379592822897</v>
      </c>
      <c r="V134" s="4">
        <v>0.58726632915203592</v>
      </c>
      <c r="W134" s="4">
        <v>2.4994822100227389E-2</v>
      </c>
      <c r="Z134" s="4">
        <v>1.9277282882198821E-2</v>
      </c>
      <c r="AA134" s="4">
        <v>0.99854633824124883</v>
      </c>
    </row>
    <row r="135" spans="1:27" x14ac:dyDescent="0.25">
      <c r="A135" s="4" t="s">
        <v>215</v>
      </c>
      <c r="B135" s="4" t="s">
        <v>42</v>
      </c>
      <c r="D135" s="4" t="s">
        <v>43</v>
      </c>
      <c r="E135" s="4" t="s">
        <v>54</v>
      </c>
      <c r="F135" s="4">
        <v>45</v>
      </c>
      <c r="H135" s="5" t="s">
        <v>276</v>
      </c>
      <c r="J135" s="4">
        <v>0.2</v>
      </c>
      <c r="K135" s="4">
        <v>20</v>
      </c>
      <c r="L135" s="4">
        <v>0.9</v>
      </c>
      <c r="O135" s="4">
        <v>0</v>
      </c>
      <c r="P135" s="4">
        <v>7</v>
      </c>
      <c r="Q135" s="4">
        <v>0.7</v>
      </c>
      <c r="R135" s="4">
        <v>7.0516012302285422E-2</v>
      </c>
      <c r="S135" s="4">
        <v>2.9672488073755271E-3</v>
      </c>
      <c r="T135" s="4">
        <v>13.583209056650785</v>
      </c>
      <c r="U135" s="4">
        <v>1.0345548053038292</v>
      </c>
      <c r="V135" s="4">
        <v>0.66758380888948432</v>
      </c>
      <c r="W135" s="4">
        <v>2.4492331267312099E-2</v>
      </c>
      <c r="Z135" s="4">
        <v>1.981116718846242E-2</v>
      </c>
      <c r="AA135" s="4">
        <v>0.99819331027110114</v>
      </c>
    </row>
    <row r="136" spans="1:27" x14ac:dyDescent="0.25">
      <c r="A136" s="4" t="s">
        <v>216</v>
      </c>
      <c r="B136" s="4" t="s">
        <v>42</v>
      </c>
      <c r="D136" s="4" t="s">
        <v>43</v>
      </c>
      <c r="E136" s="4" t="s">
        <v>54</v>
      </c>
      <c r="F136" s="4">
        <v>45</v>
      </c>
      <c r="H136" s="5" t="s">
        <v>276</v>
      </c>
      <c r="J136" s="4">
        <v>0.2</v>
      </c>
      <c r="K136" s="4">
        <v>20</v>
      </c>
      <c r="L136" s="4">
        <v>0.9</v>
      </c>
      <c r="O136" s="4">
        <v>0</v>
      </c>
      <c r="P136" s="4">
        <v>9</v>
      </c>
      <c r="Q136" s="4">
        <v>0.76200000000000001</v>
      </c>
      <c r="R136" s="4">
        <v>6.0374139469808005E-2</v>
      </c>
      <c r="S136" s="4">
        <v>5.8930231432801601E-3</v>
      </c>
      <c r="T136" s="4">
        <v>10.172245441203609</v>
      </c>
      <c r="U136" s="4">
        <v>2.2677243085253251</v>
      </c>
      <c r="V136" s="4">
        <v>0.7910366040703749</v>
      </c>
      <c r="W136" s="4">
        <v>4.0323725485177306E-2</v>
      </c>
      <c r="Z136" s="4">
        <v>6.7696079798616193E-2</v>
      </c>
      <c r="AA136" s="4">
        <v>0.9871954573950974</v>
      </c>
    </row>
    <row r="137" spans="1:27" x14ac:dyDescent="0.25">
      <c r="A137" s="4" t="s">
        <v>217</v>
      </c>
      <c r="B137" s="4" t="s">
        <v>42</v>
      </c>
      <c r="D137" s="4" t="s">
        <v>43</v>
      </c>
      <c r="E137" s="4" t="s">
        <v>53</v>
      </c>
      <c r="F137" s="4">
        <v>50</v>
      </c>
      <c r="H137" s="5" t="s">
        <v>276</v>
      </c>
      <c r="J137" s="4">
        <v>0.2</v>
      </c>
      <c r="K137" s="4">
        <v>20</v>
      </c>
      <c r="L137" s="4">
        <v>0.9</v>
      </c>
      <c r="O137" s="4">
        <v>0</v>
      </c>
      <c r="P137" s="4">
        <v>7</v>
      </c>
      <c r="Q137" s="4">
        <v>0.67020000000000002</v>
      </c>
      <c r="R137" s="4">
        <v>5.7637316276328066E-2</v>
      </c>
      <c r="S137" s="4">
        <v>6.5278547132375207E-3</v>
      </c>
      <c r="T137" s="4">
        <v>10.438905951182877</v>
      </c>
      <c r="U137" s="4">
        <v>1.8766331866577417</v>
      </c>
      <c r="V137" s="4">
        <v>0.71521805494160862</v>
      </c>
      <c r="W137" s="4">
        <v>6.3015775517000577E-2</v>
      </c>
      <c r="Z137" s="4">
        <v>4.9763334723291995E-2</v>
      </c>
      <c r="AA137" s="4">
        <v>0.99076169372419587</v>
      </c>
    </row>
    <row r="138" spans="1:27" x14ac:dyDescent="0.25">
      <c r="A138" s="4" t="s">
        <v>218</v>
      </c>
      <c r="B138" s="4" t="s">
        <v>42</v>
      </c>
      <c r="D138" s="4" t="s">
        <v>43</v>
      </c>
      <c r="E138" s="4" t="s">
        <v>54</v>
      </c>
      <c r="F138" s="4">
        <v>50</v>
      </c>
      <c r="H138" s="5" t="s">
        <v>276</v>
      </c>
      <c r="J138" s="4">
        <v>0.2</v>
      </c>
      <c r="K138" s="4">
        <v>20</v>
      </c>
      <c r="L138" s="4">
        <v>0.9</v>
      </c>
      <c r="O138" s="4">
        <v>0</v>
      </c>
      <c r="P138" s="4">
        <v>7</v>
      </c>
      <c r="Q138" s="4">
        <v>0.67020000000000002</v>
      </c>
      <c r="R138" s="4">
        <v>6.9600487357479618E-2</v>
      </c>
      <c r="S138" s="4">
        <v>2.1387714123157747E-3</v>
      </c>
      <c r="T138" s="4">
        <v>14.254224179799087</v>
      </c>
      <c r="U138" s="4">
        <v>0.6763985913081999</v>
      </c>
      <c r="V138" s="4">
        <v>0.62307581221862551</v>
      </c>
      <c r="W138" s="4">
        <v>1.9564017423563878E-2</v>
      </c>
      <c r="Z138" s="4">
        <v>1.2832941840036539E-2</v>
      </c>
      <c r="AA138" s="4">
        <v>0.99912559108898591</v>
      </c>
    </row>
    <row r="139" spans="1:27" x14ac:dyDescent="0.25">
      <c r="A139" s="4" t="s">
        <v>219</v>
      </c>
      <c r="B139" s="4" t="s">
        <v>42</v>
      </c>
      <c r="D139" s="4" t="s">
        <v>43</v>
      </c>
      <c r="F139" s="4">
        <v>50</v>
      </c>
      <c r="H139" s="5" t="s">
        <v>276</v>
      </c>
      <c r="J139" s="4">
        <v>0.2</v>
      </c>
      <c r="K139" s="4">
        <v>20</v>
      </c>
      <c r="L139" s="4">
        <v>0.9</v>
      </c>
      <c r="O139" s="4">
        <v>0</v>
      </c>
      <c r="P139" s="4">
        <v>4</v>
      </c>
      <c r="Q139" s="4">
        <v>0.60000000000000009</v>
      </c>
      <c r="R139" s="4">
        <v>7.9055249956546114E-2</v>
      </c>
      <c r="S139" s="4">
        <v>6.4022185380590638E-3</v>
      </c>
      <c r="T139" s="4">
        <v>6.0991086449690162</v>
      </c>
      <c r="U139" s="4">
        <v>0.71031697871835209</v>
      </c>
      <c r="V139" s="4">
        <v>0.71990376288238389</v>
      </c>
      <c r="W139" s="4">
        <v>3.5814378892860849E-2</v>
      </c>
      <c r="Z139" s="4">
        <v>1.8890067097595303E-2</v>
      </c>
      <c r="AA139" s="4">
        <v>0.9987832951086395</v>
      </c>
    </row>
    <row r="140" spans="1:27" x14ac:dyDescent="0.25">
      <c r="A140" s="4" t="s">
        <v>220</v>
      </c>
      <c r="B140" s="4" t="s">
        <v>42</v>
      </c>
      <c r="D140" s="4" t="s">
        <v>43</v>
      </c>
      <c r="E140" s="4" t="s">
        <v>53</v>
      </c>
      <c r="F140" s="4">
        <v>55</v>
      </c>
      <c r="H140" s="5" t="s">
        <v>276</v>
      </c>
      <c r="J140" s="4">
        <v>0.2</v>
      </c>
      <c r="K140" s="4">
        <v>20</v>
      </c>
      <c r="L140" s="4">
        <v>0.9</v>
      </c>
      <c r="O140" s="4">
        <v>0</v>
      </c>
      <c r="P140" s="4">
        <v>7</v>
      </c>
      <c r="Q140" s="4">
        <v>0.70689999999999997</v>
      </c>
      <c r="R140" s="4">
        <v>4.9812263775966391E-2</v>
      </c>
      <c r="S140" s="4">
        <v>4.4356332822753971E-3</v>
      </c>
      <c r="T140" s="4">
        <v>7.163719032781132</v>
      </c>
      <c r="U140" s="4">
        <v>0.99652432308608185</v>
      </c>
      <c r="V140" s="4">
        <v>0.78294732213312623</v>
      </c>
      <c r="W140" s="4">
        <v>3.9961866127698024E-2</v>
      </c>
      <c r="Z140" s="4">
        <v>4.1468276455251737E-2</v>
      </c>
      <c r="AA140" s="4">
        <v>0.99568648564953388</v>
      </c>
    </row>
    <row r="141" spans="1:27" s="7" customFormat="1" x14ac:dyDescent="0.25">
      <c r="A141" s="7" t="s">
        <v>221</v>
      </c>
      <c r="B141" s="7" t="s">
        <v>42</v>
      </c>
      <c r="D141" s="7" t="s">
        <v>43</v>
      </c>
      <c r="E141" s="7" t="s">
        <v>54</v>
      </c>
      <c r="F141" s="7">
        <v>55</v>
      </c>
      <c r="H141" s="8" t="s">
        <v>276</v>
      </c>
      <c r="J141" s="7">
        <v>0.2</v>
      </c>
      <c r="K141" s="7">
        <v>20</v>
      </c>
      <c r="L141" s="7">
        <v>0.9</v>
      </c>
      <c r="N141" s="9"/>
      <c r="O141" s="7">
        <v>0</v>
      </c>
      <c r="P141" s="7">
        <v>7</v>
      </c>
      <c r="Q141" s="7">
        <v>0.70689999999999997</v>
      </c>
      <c r="R141" s="7">
        <v>6.0056769038859377E-2</v>
      </c>
      <c r="S141" s="7">
        <v>4.8317784302274423E-3</v>
      </c>
      <c r="T141" s="7">
        <v>8.7518963995505246</v>
      </c>
      <c r="U141" s="7">
        <v>0.99208036782766784</v>
      </c>
      <c r="V141" s="7">
        <v>0.69762214221969066</v>
      </c>
      <c r="W141" s="7">
        <v>4.1558617642570538E-2</v>
      </c>
      <c r="Z141" s="7">
        <v>3.4456820047537619E-2</v>
      </c>
      <c r="AA141" s="7">
        <v>0.99618959852039413</v>
      </c>
    </row>
    <row r="142" spans="1:27" x14ac:dyDescent="0.25">
      <c r="A142" s="4" t="s">
        <v>222</v>
      </c>
      <c r="B142" s="4" t="s">
        <v>42</v>
      </c>
      <c r="D142" s="4" t="s">
        <v>43</v>
      </c>
      <c r="E142" s="4" t="s">
        <v>54</v>
      </c>
      <c r="F142" s="4">
        <v>65</v>
      </c>
      <c r="H142" s="5" t="s">
        <v>276</v>
      </c>
      <c r="J142" s="4">
        <v>0.2</v>
      </c>
      <c r="K142" s="4">
        <v>20</v>
      </c>
      <c r="L142" s="4">
        <v>0.9</v>
      </c>
      <c r="O142" s="4">
        <v>0</v>
      </c>
      <c r="P142" s="4">
        <v>7</v>
      </c>
      <c r="Q142" s="4">
        <v>0.77</v>
      </c>
      <c r="R142" s="4">
        <v>5.9292422628790011E-2</v>
      </c>
      <c r="S142" s="4">
        <v>1.1271527356058226E-2</v>
      </c>
      <c r="T142" s="4">
        <v>7.3055636571033968</v>
      </c>
      <c r="U142" s="4">
        <v>1.1772145777138014</v>
      </c>
      <c r="V142" s="4">
        <v>0.72434459123155204</v>
      </c>
      <c r="W142" s="4">
        <v>0.10188892003991859</v>
      </c>
      <c r="Z142" s="4">
        <v>9.2639965789418841E-2</v>
      </c>
      <c r="AA142" s="4">
        <v>0.99154763270532331</v>
      </c>
    </row>
    <row r="143" spans="1:27" x14ac:dyDescent="0.25">
      <c r="A143" s="4" t="s">
        <v>223</v>
      </c>
      <c r="B143" s="4" t="s">
        <v>42</v>
      </c>
      <c r="D143" s="4" t="s">
        <v>43</v>
      </c>
      <c r="F143" s="4">
        <v>70</v>
      </c>
      <c r="H143" s="5" t="s">
        <v>276</v>
      </c>
      <c r="J143" s="4">
        <v>0.2</v>
      </c>
      <c r="K143" s="4">
        <v>20</v>
      </c>
      <c r="L143" s="4">
        <v>0.9</v>
      </c>
      <c r="O143" s="4">
        <v>0</v>
      </c>
      <c r="P143" s="4">
        <v>4</v>
      </c>
      <c r="Q143" s="4">
        <v>0.60000000000000009</v>
      </c>
      <c r="R143" s="4">
        <v>8.1998979955163628E-2</v>
      </c>
      <c r="S143" s="4">
        <v>1.5746330051441257E-2</v>
      </c>
      <c r="T143" s="4">
        <v>4.7065327252949549</v>
      </c>
      <c r="U143" s="4">
        <v>0.97550835778214728</v>
      </c>
      <c r="V143" s="4">
        <v>0.67776141913417043</v>
      </c>
      <c r="W143" s="4">
        <v>8.1689824135178279E-2</v>
      </c>
      <c r="Z143" s="4">
        <v>3.5039008691253121E-2</v>
      </c>
      <c r="AA143" s="4">
        <v>0.99619806502571118</v>
      </c>
    </row>
    <row r="144" spans="1:27" x14ac:dyDescent="0.25">
      <c r="A144" s="4" t="s">
        <v>224</v>
      </c>
      <c r="B144" s="4" t="s">
        <v>42</v>
      </c>
      <c r="D144" s="4" t="s">
        <v>43</v>
      </c>
      <c r="F144" s="4">
        <v>90</v>
      </c>
      <c r="H144" s="5" t="s">
        <v>276</v>
      </c>
      <c r="J144" s="4">
        <v>0.2</v>
      </c>
      <c r="K144" s="4">
        <v>20</v>
      </c>
      <c r="L144" s="4">
        <v>0.9</v>
      </c>
      <c r="O144" s="4">
        <v>0</v>
      </c>
      <c r="P144" s="4">
        <v>4</v>
      </c>
      <c r="Q144" s="4">
        <v>0.60000000000000009</v>
      </c>
      <c r="R144" s="4">
        <v>8.9253228323647862E-2</v>
      </c>
      <c r="S144" s="4">
        <v>8.1610636536734865E-3</v>
      </c>
      <c r="T144" s="4">
        <v>2.7713857683303234</v>
      </c>
      <c r="U144" s="4">
        <v>0.20110640874412397</v>
      </c>
      <c r="V144" s="4">
        <v>0.65065602909010289</v>
      </c>
      <c r="W144" s="4">
        <v>3.2421857744119452E-2</v>
      </c>
      <c r="Z144" s="4">
        <v>1.052523024564141E-2</v>
      </c>
      <c r="AA144" s="4">
        <v>0.99974488221737046</v>
      </c>
    </row>
    <row r="145" spans="1:27" x14ac:dyDescent="0.25">
      <c r="A145" s="4" t="s">
        <v>225</v>
      </c>
      <c r="B145" s="4" t="s">
        <v>28</v>
      </c>
      <c r="C145" s="4" t="s">
        <v>44</v>
      </c>
      <c r="D145" s="4" t="s">
        <v>29</v>
      </c>
      <c r="E145" s="4" t="s">
        <v>54</v>
      </c>
      <c r="F145" s="4">
        <v>40</v>
      </c>
      <c r="H145" s="5" t="s">
        <v>276</v>
      </c>
      <c r="J145" s="4">
        <v>0.2</v>
      </c>
      <c r="K145" s="4">
        <v>20</v>
      </c>
      <c r="L145" s="4">
        <v>0.9</v>
      </c>
      <c r="O145" s="4">
        <v>0</v>
      </c>
      <c r="P145" s="4">
        <v>8</v>
      </c>
      <c r="Q145" s="4">
        <v>0.58689999999999998</v>
      </c>
      <c r="R145" s="4">
        <v>0.13516672603293817</v>
      </c>
      <c r="S145" s="4">
        <v>7.0776783422711953E-3</v>
      </c>
      <c r="T145" s="4">
        <v>5.788175543034396</v>
      </c>
      <c r="U145" s="4">
        <v>0.11705956712282536</v>
      </c>
      <c r="V145" s="4">
        <v>0.47568430295564912</v>
      </c>
      <c r="W145" s="4">
        <v>2.8219890843724196E-2</v>
      </c>
      <c r="Z145" s="4">
        <v>7.3954191036991867E-3</v>
      </c>
      <c r="AA145" s="4">
        <v>0.99969537926144758</v>
      </c>
    </row>
    <row r="146" spans="1:27" x14ac:dyDescent="0.25">
      <c r="A146" s="4" t="s">
        <v>226</v>
      </c>
      <c r="B146" s="4" t="s">
        <v>28</v>
      </c>
      <c r="C146" s="4" t="s">
        <v>44</v>
      </c>
      <c r="D146" s="4" t="s">
        <v>29</v>
      </c>
      <c r="E146" s="4" t="s">
        <v>54</v>
      </c>
      <c r="F146" s="4">
        <v>50</v>
      </c>
      <c r="H146" s="5" t="s">
        <v>276</v>
      </c>
      <c r="J146" s="4">
        <v>0.2</v>
      </c>
      <c r="K146" s="4">
        <v>20</v>
      </c>
      <c r="L146" s="4">
        <v>0.9</v>
      </c>
      <c r="O146" s="4">
        <v>0</v>
      </c>
      <c r="P146" s="4">
        <v>8</v>
      </c>
      <c r="Q146" s="4">
        <v>0.70020000000000004</v>
      </c>
      <c r="R146" s="4">
        <v>9.6666984219571483E-2</v>
      </c>
      <c r="S146" s="4">
        <v>5.4541841751157378E-3</v>
      </c>
      <c r="T146" s="4">
        <v>5.8218927613055662</v>
      </c>
      <c r="U146" s="4">
        <v>0.28555995041813659</v>
      </c>
      <c r="V146" s="4">
        <v>0.60755708682648146</v>
      </c>
      <c r="W146" s="4">
        <v>2.732379523907396E-2</v>
      </c>
      <c r="Z146" s="4">
        <v>1.5800258670008806E-2</v>
      </c>
      <c r="AA146" s="4">
        <v>0.99916205559098703</v>
      </c>
    </row>
    <row r="147" spans="1:27" x14ac:dyDescent="0.25">
      <c r="A147" s="4" t="s">
        <v>227</v>
      </c>
      <c r="B147" s="4" t="s">
        <v>28</v>
      </c>
      <c r="C147" s="4" t="s">
        <v>44</v>
      </c>
      <c r="D147" s="4" t="s">
        <v>29</v>
      </c>
      <c r="E147" s="4" t="s">
        <v>54</v>
      </c>
      <c r="F147" s="4">
        <v>60</v>
      </c>
      <c r="H147" s="5" t="s">
        <v>276</v>
      </c>
      <c r="J147" s="4">
        <v>0.2</v>
      </c>
      <c r="K147" s="4">
        <v>20</v>
      </c>
      <c r="L147" s="4">
        <v>0.9</v>
      </c>
      <c r="O147" s="4">
        <v>0</v>
      </c>
      <c r="P147" s="4">
        <v>8</v>
      </c>
      <c r="Q147" s="4">
        <v>0.64280000000000004</v>
      </c>
      <c r="R147" s="4">
        <v>0.11663712780314937</v>
      </c>
      <c r="S147" s="4">
        <v>2.639887406377741E-2</v>
      </c>
      <c r="T147" s="4">
        <v>3.9815805154236066</v>
      </c>
      <c r="U147" s="4">
        <v>0.61035385576121226</v>
      </c>
      <c r="V147" s="4">
        <v>0.53069680782367579</v>
      </c>
      <c r="W147" s="4">
        <v>8.964860885631519E-2</v>
      </c>
      <c r="Z147" s="4">
        <v>3.1075941322202417E-2</v>
      </c>
      <c r="AA147" s="4">
        <v>0.99561889035187034</v>
      </c>
    </row>
    <row r="148" spans="1:27" x14ac:dyDescent="0.25">
      <c r="A148" s="4" t="s">
        <v>228</v>
      </c>
      <c r="B148" s="4" t="s">
        <v>28</v>
      </c>
      <c r="C148" s="4" t="s">
        <v>44</v>
      </c>
      <c r="D148" s="4" t="s">
        <v>29</v>
      </c>
      <c r="E148" s="4" t="s">
        <v>54</v>
      </c>
      <c r="F148" s="4">
        <v>70</v>
      </c>
      <c r="H148" s="5" t="s">
        <v>276</v>
      </c>
      <c r="J148" s="4">
        <v>0.2</v>
      </c>
      <c r="K148" s="4">
        <v>20</v>
      </c>
      <c r="L148" s="4">
        <v>0.9</v>
      </c>
      <c r="O148" s="4">
        <v>0</v>
      </c>
      <c r="P148" s="4">
        <v>9</v>
      </c>
      <c r="Q148" s="4">
        <v>0.66420000000000001</v>
      </c>
      <c r="R148" s="4">
        <v>0.13055508843381294</v>
      </c>
      <c r="S148" s="4">
        <v>4.1159185748737608E-2</v>
      </c>
      <c r="T148" s="4">
        <v>2.9442589471093199</v>
      </c>
      <c r="U148" s="4">
        <v>0.52062980955648874</v>
      </c>
      <c r="V148" s="4">
        <v>0.50403757315576514</v>
      </c>
      <c r="W148" s="4">
        <v>0.11028438165371401</v>
      </c>
      <c r="Z148" s="4">
        <v>3.4165706285704159E-2</v>
      </c>
      <c r="AA148" s="4">
        <v>0.99545227600329955</v>
      </c>
    </row>
    <row r="149" spans="1:27" x14ac:dyDescent="0.25">
      <c r="A149" s="4" t="s">
        <v>229</v>
      </c>
      <c r="B149" s="4" t="s">
        <v>28</v>
      </c>
      <c r="C149" s="4" t="s">
        <v>44</v>
      </c>
      <c r="D149" s="4" t="s">
        <v>29</v>
      </c>
      <c r="E149" s="4" t="s">
        <v>54</v>
      </c>
      <c r="F149" s="4">
        <v>80</v>
      </c>
      <c r="H149" s="5" t="s">
        <v>276</v>
      </c>
      <c r="J149" s="4">
        <v>0.2</v>
      </c>
      <c r="K149" s="4">
        <v>20</v>
      </c>
      <c r="L149" s="4">
        <v>0.9</v>
      </c>
      <c r="O149" s="4">
        <v>0</v>
      </c>
      <c r="P149" s="4">
        <v>9</v>
      </c>
      <c r="Q149" s="4">
        <v>0.65529999999999999</v>
      </c>
      <c r="R149" s="4">
        <v>0.14380488507765457</v>
      </c>
      <c r="S149" s="4">
        <v>6.3425108755851889E-2</v>
      </c>
      <c r="T149" s="4">
        <v>2.2507268090940156</v>
      </c>
      <c r="U149" s="4">
        <v>0.55159376398351645</v>
      </c>
      <c r="V149" s="4">
        <v>0.50383661010671965</v>
      </c>
      <c r="W149" s="4">
        <v>0.13522462926681922</v>
      </c>
      <c r="Z149" s="4">
        <v>3.5123341330614975E-2</v>
      </c>
      <c r="AA149" s="4">
        <v>0.99559168924729069</v>
      </c>
    </row>
    <row r="150" spans="1:27" x14ac:dyDescent="0.25">
      <c r="A150" s="4" t="s">
        <v>230</v>
      </c>
      <c r="B150" s="4" t="s">
        <v>45</v>
      </c>
      <c r="D150" s="4" t="s">
        <v>46</v>
      </c>
      <c r="E150" s="4" t="s">
        <v>53</v>
      </c>
      <c r="F150" s="4">
        <v>20</v>
      </c>
      <c r="H150" s="5" t="s">
        <v>276</v>
      </c>
      <c r="J150" s="4">
        <v>0.2</v>
      </c>
      <c r="K150" s="4">
        <v>20</v>
      </c>
      <c r="L150" s="4">
        <v>0.9</v>
      </c>
      <c r="O150" s="4">
        <v>0</v>
      </c>
      <c r="P150" s="4">
        <v>10</v>
      </c>
      <c r="Q150" s="4">
        <v>0.88</v>
      </c>
      <c r="R150" s="4">
        <v>7.4259623733979541E-2</v>
      </c>
      <c r="S150" s="4">
        <v>2.4739907406023083E-3</v>
      </c>
      <c r="T150" s="4">
        <v>32.547032676889785</v>
      </c>
      <c r="U150" s="4">
        <v>5.4886321240976006</v>
      </c>
      <c r="V150" s="4">
        <v>0.69981051683638462</v>
      </c>
      <c r="W150" s="4">
        <v>1.5780178854462906E-2</v>
      </c>
      <c r="Z150" s="4">
        <v>3.3566241080694226E-2</v>
      </c>
      <c r="AA150" s="4">
        <v>0.99438109677846465</v>
      </c>
    </row>
    <row r="151" spans="1:27" x14ac:dyDescent="0.25">
      <c r="A151" s="4" t="s">
        <v>231</v>
      </c>
      <c r="B151" s="4" t="s">
        <v>45</v>
      </c>
      <c r="D151" s="4" t="s">
        <v>46</v>
      </c>
      <c r="E151" s="4" t="s">
        <v>53</v>
      </c>
      <c r="F151" s="4">
        <v>25</v>
      </c>
      <c r="H151" s="5" t="s">
        <v>276</v>
      </c>
      <c r="J151" s="4">
        <v>0.2</v>
      </c>
      <c r="K151" s="4">
        <v>20</v>
      </c>
      <c r="L151" s="4">
        <v>0.9</v>
      </c>
      <c r="O151" s="4">
        <v>0</v>
      </c>
      <c r="P151" s="4">
        <v>10</v>
      </c>
      <c r="Q151" s="4">
        <v>0.88</v>
      </c>
      <c r="R151" s="4">
        <v>7.2672670560649938E-2</v>
      </c>
      <c r="S151" s="4">
        <v>5.1688343007522328E-3</v>
      </c>
      <c r="T151" s="4">
        <v>28.609303174790401</v>
      </c>
      <c r="U151" s="4">
        <v>9.1602324022234853</v>
      </c>
      <c r="V151" s="4">
        <v>0.69594093788158717</v>
      </c>
      <c r="W151" s="4">
        <v>3.3627223910734021E-2</v>
      </c>
      <c r="Z151" s="4">
        <v>6.9894964381681038E-2</v>
      </c>
      <c r="AA151" s="4">
        <v>0.97654354100658214</v>
      </c>
    </row>
    <row r="152" spans="1:27" x14ac:dyDescent="0.25">
      <c r="A152" s="4" t="s">
        <v>232</v>
      </c>
      <c r="B152" s="4" t="s">
        <v>45</v>
      </c>
      <c r="D152" s="4" t="s">
        <v>46</v>
      </c>
      <c r="E152" s="4" t="s">
        <v>53</v>
      </c>
      <c r="F152" s="4">
        <v>40</v>
      </c>
      <c r="H152" s="5" t="s">
        <v>276</v>
      </c>
      <c r="J152" s="4">
        <v>0.2</v>
      </c>
      <c r="K152" s="4">
        <v>20</v>
      </c>
      <c r="L152" s="4">
        <v>0.9</v>
      </c>
      <c r="O152" s="4">
        <v>0</v>
      </c>
      <c r="P152" s="4">
        <v>10</v>
      </c>
      <c r="Q152" s="4">
        <v>0.88</v>
      </c>
      <c r="R152" s="4">
        <v>6.7311358708445901E-2</v>
      </c>
      <c r="S152" s="4">
        <v>2.2164158067915995E-3</v>
      </c>
      <c r="T152" s="4">
        <v>15.655026770011974</v>
      </c>
      <c r="U152" s="4">
        <v>1.5549706245751844</v>
      </c>
      <c r="V152" s="4">
        <v>0.72509964103796432</v>
      </c>
      <c r="W152" s="4">
        <v>1.3777068568767007E-2</v>
      </c>
      <c r="Z152" s="4">
        <v>3.0544849095298827E-2</v>
      </c>
      <c r="AA152" s="4">
        <v>0.99682031118571446</v>
      </c>
    </row>
    <row r="153" spans="1:27" x14ac:dyDescent="0.25">
      <c r="A153" s="4" t="s">
        <v>233</v>
      </c>
      <c r="B153" s="4" t="s">
        <v>45</v>
      </c>
      <c r="D153" s="4" t="s">
        <v>46</v>
      </c>
      <c r="E153" s="4" t="s">
        <v>54</v>
      </c>
      <c r="F153" s="4">
        <v>20</v>
      </c>
      <c r="H153" s="5" t="s">
        <v>276</v>
      </c>
      <c r="J153" s="4">
        <v>0.2</v>
      </c>
      <c r="K153" s="4">
        <v>20</v>
      </c>
      <c r="L153" s="4">
        <v>0.9</v>
      </c>
      <c r="O153" s="4">
        <v>0</v>
      </c>
      <c r="P153" s="4">
        <v>10</v>
      </c>
      <c r="Q153" s="4">
        <v>0.88</v>
      </c>
      <c r="R153" s="4">
        <v>9.9643953416516218E-2</v>
      </c>
      <c r="S153" s="4">
        <v>6.6742927710293082E-3</v>
      </c>
      <c r="T153" s="4">
        <v>26.573080378536105</v>
      </c>
      <c r="U153" s="4">
        <v>5.6836455814112812</v>
      </c>
      <c r="V153" s="4">
        <v>0.59073114482805078</v>
      </c>
      <c r="W153" s="4">
        <v>3.7603703313772004E-2</v>
      </c>
      <c r="Z153" s="4">
        <v>5.4291352998267345E-2</v>
      </c>
      <c r="AA153" s="4">
        <v>0.98093686414595704</v>
      </c>
    </row>
    <row r="154" spans="1:27" x14ac:dyDescent="0.25">
      <c r="A154" s="4" t="s">
        <v>234</v>
      </c>
      <c r="B154" s="4" t="s">
        <v>45</v>
      </c>
      <c r="D154" s="4" t="s">
        <v>46</v>
      </c>
      <c r="E154" s="4" t="s">
        <v>54</v>
      </c>
      <c r="F154" s="4">
        <v>25</v>
      </c>
      <c r="H154" s="5" t="s">
        <v>276</v>
      </c>
      <c r="J154" s="4">
        <v>0.2</v>
      </c>
      <c r="K154" s="4">
        <v>20</v>
      </c>
      <c r="L154" s="4">
        <v>0.9</v>
      </c>
      <c r="O154" s="4">
        <v>0</v>
      </c>
      <c r="P154" s="4">
        <v>10</v>
      </c>
      <c r="Q154" s="4">
        <v>0.88</v>
      </c>
      <c r="R154" s="4">
        <v>9.6291578219031046E-2</v>
      </c>
      <c r="S154" s="4">
        <v>5.3113798365850024E-3</v>
      </c>
      <c r="T154" s="4">
        <v>23.822594298939702</v>
      </c>
      <c r="U154" s="4">
        <v>4.0174434996499402</v>
      </c>
      <c r="V154" s="4">
        <v>0.60725367334640146</v>
      </c>
      <c r="W154" s="4">
        <v>2.9877620755790618E-2</v>
      </c>
      <c r="Z154" s="4">
        <v>4.4946147002813595E-2</v>
      </c>
      <c r="AA154" s="4">
        <v>0.98813789445831723</v>
      </c>
    </row>
    <row r="155" spans="1:27" x14ac:dyDescent="0.25">
      <c r="A155" s="4" t="s">
        <v>235</v>
      </c>
      <c r="B155" s="4" t="s">
        <v>45</v>
      </c>
      <c r="D155" s="4" t="s">
        <v>46</v>
      </c>
      <c r="E155" s="4" t="s">
        <v>54</v>
      </c>
      <c r="F155" s="4">
        <v>40</v>
      </c>
      <c r="H155" s="5" t="s">
        <v>276</v>
      </c>
      <c r="J155" s="4">
        <v>0.2</v>
      </c>
      <c r="K155" s="4">
        <v>20</v>
      </c>
      <c r="L155" s="4">
        <v>0.9</v>
      </c>
      <c r="O155" s="4">
        <v>0</v>
      </c>
      <c r="P155" s="4">
        <v>10</v>
      </c>
      <c r="Q155" s="4">
        <v>0.88</v>
      </c>
      <c r="R155" s="4">
        <v>9.4334185843510901E-2</v>
      </c>
      <c r="S155" s="4">
        <v>5.2935085661649913E-3</v>
      </c>
      <c r="T155" s="4">
        <v>17.152042214417101</v>
      </c>
      <c r="U155" s="4">
        <v>2.322764529521264</v>
      </c>
      <c r="V155" s="4">
        <v>0.61688733872661139</v>
      </c>
      <c r="W155" s="4">
        <v>2.8729774322467583E-2</v>
      </c>
      <c r="Z155" s="4">
        <v>4.2932304269402505E-2</v>
      </c>
      <c r="AA155" s="4">
        <v>0.9911603652482649</v>
      </c>
    </row>
    <row r="156" spans="1:27" x14ac:dyDescent="0.25">
      <c r="A156" s="4" t="s">
        <v>236</v>
      </c>
      <c r="B156" s="4" t="s">
        <v>28</v>
      </c>
      <c r="D156" s="4" t="s">
        <v>46</v>
      </c>
      <c r="F156" s="4">
        <v>40</v>
      </c>
      <c r="H156" s="5" t="s">
        <v>276</v>
      </c>
      <c r="J156" s="4">
        <v>0.2</v>
      </c>
      <c r="K156" s="4">
        <v>20</v>
      </c>
      <c r="L156" s="4">
        <v>0.9</v>
      </c>
      <c r="O156" s="4">
        <v>0</v>
      </c>
      <c r="P156" s="4">
        <v>8</v>
      </c>
      <c r="Q156" s="4">
        <v>0.62000000000000011</v>
      </c>
      <c r="R156" s="4">
        <v>8.2958027178284127E-2</v>
      </c>
      <c r="S156" s="4">
        <v>1.0293297118741686E-2</v>
      </c>
      <c r="T156" s="4">
        <v>12.576189408214022</v>
      </c>
      <c r="U156" s="4">
        <v>3.4403854033199051</v>
      </c>
      <c r="V156" s="4">
        <v>0.67681362912299503</v>
      </c>
      <c r="W156" s="4">
        <v>6.575031805872554E-2</v>
      </c>
      <c r="Z156" s="4">
        <v>4.118425763138675E-2</v>
      </c>
      <c r="AA156" s="4">
        <v>0.98867306579572167</v>
      </c>
    </row>
    <row r="157" spans="1:27" x14ac:dyDescent="0.25">
      <c r="A157" s="4" t="s">
        <v>237</v>
      </c>
      <c r="B157" s="4" t="s">
        <v>28</v>
      </c>
      <c r="D157" s="4" t="s">
        <v>46</v>
      </c>
      <c r="F157" s="4">
        <v>50</v>
      </c>
      <c r="H157" s="5" t="s">
        <v>276</v>
      </c>
      <c r="J157" s="4">
        <v>0.2</v>
      </c>
      <c r="K157" s="4">
        <v>20</v>
      </c>
      <c r="L157" s="4">
        <v>0.9</v>
      </c>
      <c r="O157" s="4">
        <v>0</v>
      </c>
      <c r="P157" s="4">
        <v>6</v>
      </c>
      <c r="Q157" s="4">
        <v>0.71</v>
      </c>
      <c r="R157" s="4">
        <v>8.7157395521984093E-2</v>
      </c>
      <c r="S157" s="4">
        <v>6.6968394980734015E-3</v>
      </c>
      <c r="T157" s="4">
        <v>8.0377040585219746</v>
      </c>
      <c r="U157" s="4">
        <v>0.54858279921891251</v>
      </c>
      <c r="V157" s="4">
        <v>0.58880888334861281</v>
      </c>
      <c r="W157" s="4">
        <v>4.2495895216546002E-2</v>
      </c>
      <c r="Z157" s="4">
        <v>2.3398912535835644E-2</v>
      </c>
      <c r="AA157" s="4">
        <v>0.99821946212175339</v>
      </c>
    </row>
    <row r="158" spans="1:27" x14ac:dyDescent="0.25">
      <c r="A158" s="4" t="s">
        <v>238</v>
      </c>
      <c r="B158" s="4" t="s">
        <v>28</v>
      </c>
      <c r="D158" s="4" t="s">
        <v>46</v>
      </c>
      <c r="F158" s="4">
        <v>60</v>
      </c>
      <c r="H158" s="5" t="s">
        <v>276</v>
      </c>
      <c r="J158" s="4">
        <v>0.2</v>
      </c>
      <c r="K158" s="4">
        <v>20</v>
      </c>
      <c r="L158" s="4">
        <v>0.9</v>
      </c>
      <c r="O158" s="4">
        <v>0</v>
      </c>
      <c r="P158" s="4">
        <v>10</v>
      </c>
      <c r="Q158" s="4">
        <v>0.77</v>
      </c>
      <c r="R158" s="4">
        <v>5.6745789809740356E-2</v>
      </c>
      <c r="S158" s="4">
        <v>2.4779170177809244E-3</v>
      </c>
      <c r="T158" s="4">
        <v>9.519589537486258</v>
      </c>
      <c r="U158" s="4">
        <v>0.48548042628867472</v>
      </c>
      <c r="V158" s="4">
        <v>0.71509502483647691</v>
      </c>
      <c r="W158" s="4">
        <v>2.5667161032750956E-2</v>
      </c>
      <c r="Z158" s="4">
        <v>2.8655133025187851E-2</v>
      </c>
      <c r="AA158" s="4">
        <v>0.99831144963644336</v>
      </c>
    </row>
    <row r="159" spans="1:27" x14ac:dyDescent="0.25">
      <c r="A159" s="4" t="s">
        <v>239</v>
      </c>
      <c r="B159" s="4" t="s">
        <v>28</v>
      </c>
      <c r="D159" s="4" t="s">
        <v>46</v>
      </c>
      <c r="F159" s="4">
        <v>70</v>
      </c>
      <c r="H159" s="5" t="s">
        <v>276</v>
      </c>
      <c r="J159" s="4">
        <v>0.2</v>
      </c>
      <c r="K159" s="4">
        <v>20</v>
      </c>
      <c r="L159" s="4">
        <v>0.9</v>
      </c>
      <c r="O159" s="4">
        <v>0</v>
      </c>
      <c r="P159" s="4">
        <v>8</v>
      </c>
      <c r="Q159" s="4">
        <v>0.63</v>
      </c>
      <c r="R159" s="4">
        <v>4.6140927130214483E-2</v>
      </c>
      <c r="S159" s="4">
        <v>1.2567502057638118E-2</v>
      </c>
      <c r="T159" s="4">
        <v>6.3855780231169756</v>
      </c>
      <c r="U159" s="4">
        <v>2.4568320370049324</v>
      </c>
      <c r="V159" s="4">
        <v>0.75618158920397793</v>
      </c>
      <c r="W159" s="4">
        <v>0.12142001334972399</v>
      </c>
      <c r="Z159" s="4">
        <v>8.3458670386408695E-2</v>
      </c>
      <c r="AA159" s="4">
        <v>0.97776773970981279</v>
      </c>
    </row>
    <row r="160" spans="1:27" x14ac:dyDescent="0.25">
      <c r="A160" s="4" t="s">
        <v>240</v>
      </c>
      <c r="B160" s="4" t="s">
        <v>35</v>
      </c>
      <c r="D160" s="4" t="s">
        <v>46</v>
      </c>
      <c r="F160" s="4">
        <v>45</v>
      </c>
      <c r="H160" s="5" t="s">
        <v>276</v>
      </c>
      <c r="J160" s="4">
        <v>0.2</v>
      </c>
      <c r="K160" s="4">
        <v>20</v>
      </c>
      <c r="L160" s="4">
        <v>0.9</v>
      </c>
      <c r="O160" s="4">
        <v>0</v>
      </c>
      <c r="P160" s="4">
        <v>6</v>
      </c>
      <c r="Q160" s="4">
        <v>0.73</v>
      </c>
      <c r="R160" s="4">
        <v>0.10005671662064795</v>
      </c>
      <c r="S160" s="4">
        <v>5.9448133924121299E-3</v>
      </c>
      <c r="T160" s="4">
        <v>30.982520600984174</v>
      </c>
      <c r="U160" s="4">
        <v>5.0321246800741548</v>
      </c>
      <c r="V160" s="4">
        <v>0.59736028866209967</v>
      </c>
      <c r="W160" s="4">
        <v>4.2822783805003532E-2</v>
      </c>
      <c r="Z160" s="4">
        <v>3.2640578921625737E-2</v>
      </c>
      <c r="AA160" s="4">
        <v>0.99183538209610278</v>
      </c>
    </row>
    <row r="161" spans="1:27" x14ac:dyDescent="0.25">
      <c r="A161" s="4" t="s">
        <v>241</v>
      </c>
      <c r="B161" s="4" t="s">
        <v>35</v>
      </c>
      <c r="D161" s="4" t="s">
        <v>46</v>
      </c>
      <c r="F161" s="4">
        <v>60</v>
      </c>
      <c r="H161" s="5" t="s">
        <v>276</v>
      </c>
      <c r="J161" s="4">
        <v>0.2</v>
      </c>
      <c r="K161" s="4">
        <v>20</v>
      </c>
      <c r="L161" s="4">
        <v>0.9</v>
      </c>
      <c r="O161" s="4">
        <v>0</v>
      </c>
      <c r="P161" s="4">
        <v>12</v>
      </c>
      <c r="Q161" s="4">
        <v>0.8</v>
      </c>
      <c r="R161" s="4">
        <v>4.919335017284393E-2</v>
      </c>
      <c r="S161" s="4">
        <v>2.0344166643971266E-3</v>
      </c>
      <c r="T161" s="4">
        <v>11.767416444190999</v>
      </c>
      <c r="U161" s="4">
        <v>1.1986915442405273</v>
      </c>
      <c r="V161" s="4">
        <v>0.91719199039993482</v>
      </c>
      <c r="W161" s="4">
        <v>1.4953422483054712E-2</v>
      </c>
      <c r="Z161" s="4">
        <v>4.7099881124789182E-2</v>
      </c>
      <c r="AA161" s="4">
        <v>0.99613773288938245</v>
      </c>
    </row>
    <row r="162" spans="1:27" x14ac:dyDescent="0.25">
      <c r="A162" s="4" t="s">
        <v>242</v>
      </c>
      <c r="B162" s="4" t="s">
        <v>47</v>
      </c>
      <c r="D162" s="4" t="s">
        <v>46</v>
      </c>
      <c r="E162" s="4" t="s">
        <v>53</v>
      </c>
      <c r="F162" s="4">
        <v>20</v>
      </c>
      <c r="H162" s="5" t="s">
        <v>276</v>
      </c>
      <c r="J162" s="4">
        <v>0.2</v>
      </c>
      <c r="K162" s="4">
        <v>20</v>
      </c>
      <c r="L162" s="4">
        <v>0.9</v>
      </c>
      <c r="O162" s="4">
        <v>0</v>
      </c>
      <c r="P162" s="4">
        <v>10</v>
      </c>
      <c r="Q162" s="4">
        <v>0.88</v>
      </c>
      <c r="R162" s="4">
        <v>7.7291973867349387E-2</v>
      </c>
      <c r="S162" s="4">
        <v>4.1906235910576474E-3</v>
      </c>
      <c r="T162" s="4">
        <v>37.218295637705872</v>
      </c>
      <c r="U162" s="4">
        <v>10.648280216498192</v>
      </c>
      <c r="V162" s="4">
        <v>0.67037031331797159</v>
      </c>
      <c r="W162" s="4">
        <v>2.7500229498015484E-2</v>
      </c>
      <c r="Z162" s="4">
        <v>5.2956011395380621E-2</v>
      </c>
      <c r="AA162" s="4">
        <v>0.98373685959055823</v>
      </c>
    </row>
    <row r="163" spans="1:27" x14ac:dyDescent="0.25">
      <c r="A163" s="4" t="s">
        <v>243</v>
      </c>
      <c r="B163" s="4" t="s">
        <v>47</v>
      </c>
      <c r="D163" s="4" t="s">
        <v>46</v>
      </c>
      <c r="E163" s="4" t="s">
        <v>53</v>
      </c>
      <c r="F163" s="4">
        <v>25</v>
      </c>
      <c r="H163" s="5" t="s">
        <v>276</v>
      </c>
      <c r="J163" s="4">
        <v>0.2</v>
      </c>
      <c r="K163" s="4">
        <v>20</v>
      </c>
      <c r="L163" s="4">
        <v>0.9</v>
      </c>
      <c r="O163" s="4">
        <v>0</v>
      </c>
      <c r="P163" s="4">
        <v>10</v>
      </c>
      <c r="Q163" s="4">
        <v>0.88</v>
      </c>
      <c r="R163" s="4">
        <v>7.4583045412419335E-2</v>
      </c>
      <c r="S163" s="4">
        <v>3.5616704041793071E-3</v>
      </c>
      <c r="T163" s="4">
        <v>32.137912624349092</v>
      </c>
      <c r="U163" s="4">
        <v>7.4440310078341811</v>
      </c>
      <c r="V163" s="4">
        <v>0.68682196732665146</v>
      </c>
      <c r="W163" s="4">
        <v>2.3208502932999409E-2</v>
      </c>
      <c r="Z163" s="4">
        <v>4.698928429456066E-2</v>
      </c>
      <c r="AA163" s="4">
        <v>0.98853561676646562</v>
      </c>
    </row>
    <row r="164" spans="1:27" x14ac:dyDescent="0.25">
      <c r="A164" s="4" t="s">
        <v>244</v>
      </c>
      <c r="B164" s="4" t="s">
        <v>47</v>
      </c>
      <c r="D164" s="4" t="s">
        <v>46</v>
      </c>
      <c r="E164" s="4" t="s">
        <v>53</v>
      </c>
      <c r="F164" s="4">
        <v>40</v>
      </c>
      <c r="H164" s="5" t="s">
        <v>276</v>
      </c>
      <c r="J164" s="4">
        <v>0.2</v>
      </c>
      <c r="K164" s="4">
        <v>20</v>
      </c>
      <c r="L164" s="4">
        <v>0.9</v>
      </c>
      <c r="O164" s="4">
        <v>0</v>
      </c>
      <c r="P164" s="4">
        <v>10</v>
      </c>
      <c r="Q164" s="4">
        <v>0.88</v>
      </c>
      <c r="R164" s="4">
        <v>7.2106795790290196E-2</v>
      </c>
      <c r="S164" s="4">
        <v>3.9687826454643605E-3</v>
      </c>
      <c r="T164" s="4">
        <v>14.597162466796783</v>
      </c>
      <c r="U164" s="4">
        <v>2.1441438670534576</v>
      </c>
      <c r="V164" s="4">
        <v>0.69743403211730159</v>
      </c>
      <c r="W164" s="4">
        <v>2.413730964458418E-2</v>
      </c>
      <c r="Z164" s="4">
        <v>4.7406602247194431E-2</v>
      </c>
      <c r="AA164" s="4">
        <v>0.99198162178099525</v>
      </c>
    </row>
    <row r="165" spans="1:27" x14ac:dyDescent="0.25">
      <c r="A165" s="4" t="s">
        <v>245</v>
      </c>
      <c r="B165" s="4" t="s">
        <v>47</v>
      </c>
      <c r="D165" s="4" t="s">
        <v>46</v>
      </c>
      <c r="E165" s="4" t="s">
        <v>54</v>
      </c>
      <c r="F165" s="4">
        <v>20</v>
      </c>
      <c r="H165" s="5" t="s">
        <v>276</v>
      </c>
      <c r="J165" s="4">
        <v>0.2</v>
      </c>
      <c r="K165" s="4">
        <v>20</v>
      </c>
      <c r="L165" s="4">
        <v>0.9</v>
      </c>
      <c r="O165" s="4">
        <v>0</v>
      </c>
      <c r="P165" s="4">
        <v>10</v>
      </c>
      <c r="Q165" s="4">
        <v>0.88</v>
      </c>
      <c r="R165" s="4">
        <v>9.8210366102840535E-2</v>
      </c>
      <c r="S165" s="4">
        <v>6.4955916357994194E-3</v>
      </c>
      <c r="T165" s="4">
        <v>28.060835427403514</v>
      </c>
      <c r="U165" s="4">
        <v>6.3347071512097424</v>
      </c>
      <c r="V165" s="4">
        <v>0.59772008726150916</v>
      </c>
      <c r="W165" s="4">
        <v>3.6977165715322773E-2</v>
      </c>
      <c r="Z165" s="4">
        <v>5.4844832665468933E-2</v>
      </c>
      <c r="AA165" s="4">
        <v>0.98040109819028165</v>
      </c>
    </row>
    <row r="166" spans="1:27" x14ac:dyDescent="0.25">
      <c r="A166" s="4" t="s">
        <v>246</v>
      </c>
      <c r="B166" s="4" t="s">
        <v>47</v>
      </c>
      <c r="D166" s="4" t="s">
        <v>46</v>
      </c>
      <c r="E166" s="4" t="s">
        <v>54</v>
      </c>
      <c r="F166" s="4">
        <v>25</v>
      </c>
      <c r="H166" s="5" t="s">
        <v>276</v>
      </c>
      <c r="J166" s="4">
        <v>0.2</v>
      </c>
      <c r="K166" s="4">
        <v>20</v>
      </c>
      <c r="L166" s="4">
        <v>0.9</v>
      </c>
      <c r="O166" s="4">
        <v>0</v>
      </c>
      <c r="P166" s="4">
        <v>10</v>
      </c>
      <c r="Q166" s="4">
        <v>0.88</v>
      </c>
      <c r="R166" s="4">
        <v>9.6094154013690661E-2</v>
      </c>
      <c r="S166" s="4">
        <v>6.6120585332980816E-3</v>
      </c>
      <c r="T166" s="4">
        <v>27.521760778496393</v>
      </c>
      <c r="U166" s="4">
        <v>6.5537588502597037</v>
      </c>
      <c r="V166" s="4">
        <v>0.60834013792304109</v>
      </c>
      <c r="W166" s="4">
        <v>3.7798080928429227E-2</v>
      </c>
      <c r="Z166" s="4">
        <v>5.7866110270902826E-2</v>
      </c>
      <c r="AA166" s="4">
        <v>0.97908435218168566</v>
      </c>
    </row>
    <row r="167" spans="1:27" x14ac:dyDescent="0.25">
      <c r="A167" s="4" t="s">
        <v>247</v>
      </c>
      <c r="B167" s="4" t="s">
        <v>47</v>
      </c>
      <c r="D167" s="4" t="s">
        <v>46</v>
      </c>
      <c r="E167" s="4" t="s">
        <v>54</v>
      </c>
      <c r="F167" s="4">
        <v>40</v>
      </c>
      <c r="H167" s="5" t="s">
        <v>276</v>
      </c>
      <c r="J167" s="4">
        <v>0.2</v>
      </c>
      <c r="K167" s="4">
        <v>20</v>
      </c>
      <c r="L167" s="4">
        <v>0.9</v>
      </c>
      <c r="O167" s="4">
        <v>0</v>
      </c>
      <c r="P167" s="4">
        <v>10</v>
      </c>
      <c r="Q167" s="4">
        <v>0.88</v>
      </c>
      <c r="R167" s="4">
        <v>9.3555344128921913E-2</v>
      </c>
      <c r="S167" s="4">
        <v>5.0212763230758576E-3</v>
      </c>
      <c r="T167" s="4">
        <v>19.184523430091883</v>
      </c>
      <c r="U167" s="4">
        <v>2.6944757433606781</v>
      </c>
      <c r="V167" s="4">
        <v>0.61434775434797484</v>
      </c>
      <c r="W167" s="4">
        <v>2.8012007845576566E-2</v>
      </c>
      <c r="Z167" s="4">
        <v>4.2094335644885725E-2</v>
      </c>
      <c r="AA167" s="4">
        <v>0.99089270521672923</v>
      </c>
    </row>
    <row r="168" spans="1:27" x14ac:dyDescent="0.25">
      <c r="A168" s="4" t="s">
        <v>248</v>
      </c>
      <c r="B168" s="4" t="s">
        <v>48</v>
      </c>
      <c r="D168" s="4" t="s">
        <v>43</v>
      </c>
      <c r="E168" s="4" t="s">
        <v>53</v>
      </c>
      <c r="F168" s="4">
        <v>20</v>
      </c>
      <c r="H168" s="5" t="s">
        <v>276</v>
      </c>
      <c r="J168" s="4">
        <v>0.2</v>
      </c>
      <c r="K168" s="4">
        <v>20</v>
      </c>
      <c r="L168" s="4">
        <v>0.9</v>
      </c>
      <c r="O168" s="4">
        <v>0</v>
      </c>
      <c r="P168" s="4">
        <v>7</v>
      </c>
      <c r="Q168" s="4">
        <v>0.66600000000000004</v>
      </c>
      <c r="R168" s="4">
        <v>8.9260764004925622E-2</v>
      </c>
      <c r="S168" s="4">
        <v>2.2030104827310031E-2</v>
      </c>
      <c r="T168" s="4">
        <v>19.599730702295076</v>
      </c>
      <c r="U168" s="4">
        <v>7.9950127230149031</v>
      </c>
      <c r="V168" s="4">
        <v>0.6674818051768846</v>
      </c>
      <c r="W168" s="4">
        <v>0.17679495758156416</v>
      </c>
      <c r="Z168" s="4">
        <v>0.12361450677633841</v>
      </c>
      <c r="AA168" s="4">
        <v>0.93224350973050751</v>
      </c>
    </row>
    <row r="169" spans="1:27" x14ac:dyDescent="0.25">
      <c r="A169" s="4" t="s">
        <v>249</v>
      </c>
      <c r="B169" s="4" t="s">
        <v>48</v>
      </c>
      <c r="D169" s="4" t="s">
        <v>43</v>
      </c>
      <c r="E169" s="4" t="s">
        <v>53</v>
      </c>
      <c r="F169" s="4">
        <v>30</v>
      </c>
      <c r="H169" s="5" t="s">
        <v>276</v>
      </c>
      <c r="J169" s="4">
        <v>0.2</v>
      </c>
      <c r="K169" s="4">
        <v>20</v>
      </c>
      <c r="L169" s="4">
        <v>0.9</v>
      </c>
      <c r="O169" s="4">
        <v>0</v>
      </c>
      <c r="P169" s="4">
        <v>10</v>
      </c>
      <c r="Q169" s="4">
        <v>0.76</v>
      </c>
      <c r="R169" s="4">
        <v>8.8383594125012385E-2</v>
      </c>
      <c r="S169" s="4">
        <v>3.442267667596503E-3</v>
      </c>
      <c r="T169" s="4">
        <v>11.095643440879616</v>
      </c>
      <c r="U169" s="4">
        <v>0.55075164829085443</v>
      </c>
      <c r="V169" s="4">
        <v>0.66008961878040739</v>
      </c>
      <c r="W169" s="4">
        <v>2.2575532338834789E-2</v>
      </c>
      <c r="Z169" s="4">
        <v>2.3719417990894325E-2</v>
      </c>
      <c r="AA169" s="4">
        <v>0.9982518004917964</v>
      </c>
    </row>
    <row r="170" spans="1:27" x14ac:dyDescent="0.25">
      <c r="A170" s="4" t="s">
        <v>250</v>
      </c>
      <c r="B170" s="4" t="s">
        <v>48</v>
      </c>
      <c r="D170" s="4" t="s">
        <v>43</v>
      </c>
      <c r="E170" s="4" t="s">
        <v>53</v>
      </c>
      <c r="F170" s="4">
        <v>40</v>
      </c>
      <c r="H170" s="5" t="s">
        <v>276</v>
      </c>
      <c r="J170" s="4">
        <v>0.2</v>
      </c>
      <c r="K170" s="4">
        <v>20</v>
      </c>
      <c r="L170" s="4">
        <v>0.9</v>
      </c>
      <c r="O170" s="4">
        <v>0</v>
      </c>
      <c r="P170" s="4">
        <v>10</v>
      </c>
      <c r="Q170" s="4">
        <v>0.76</v>
      </c>
      <c r="R170" s="4">
        <v>5.5181542160423001E-2</v>
      </c>
      <c r="S170" s="4">
        <v>9.9808336985174433E-3</v>
      </c>
      <c r="T170" s="4">
        <v>8.4156345263369605</v>
      </c>
      <c r="U170" s="4">
        <v>2.4362046107123385</v>
      </c>
      <c r="V170" s="4">
        <v>0.83275366118021732</v>
      </c>
      <c r="W170" s="4">
        <v>8.3527330561523408E-2</v>
      </c>
      <c r="Z170" s="4">
        <v>0.1441082369070234</v>
      </c>
      <c r="AA170" s="4">
        <v>0.96165583765143803</v>
      </c>
    </row>
    <row r="171" spans="1:27" x14ac:dyDescent="0.25">
      <c r="A171" s="4" t="s">
        <v>251</v>
      </c>
      <c r="B171" s="4" t="s">
        <v>48</v>
      </c>
      <c r="D171" s="4" t="s">
        <v>43</v>
      </c>
      <c r="E171" s="4" t="s">
        <v>54</v>
      </c>
      <c r="F171" s="4">
        <v>20</v>
      </c>
      <c r="H171" s="5" t="s">
        <v>276</v>
      </c>
      <c r="J171" s="4">
        <v>0.2</v>
      </c>
      <c r="K171" s="4">
        <v>20</v>
      </c>
      <c r="L171" s="4">
        <v>0.9</v>
      </c>
      <c r="O171" s="4">
        <v>0</v>
      </c>
      <c r="P171" s="4">
        <v>7</v>
      </c>
      <c r="Q171" s="4">
        <v>0.66600000000000004</v>
      </c>
      <c r="R171" s="4">
        <v>0.10733990841513724</v>
      </c>
      <c r="S171" s="4">
        <v>3.6245143279605804E-2</v>
      </c>
      <c r="T171" s="4">
        <v>17.531678202493772</v>
      </c>
      <c r="U171" s="4">
        <v>5.9851552013221854</v>
      </c>
      <c r="V171" s="4">
        <v>0.55783310508199691</v>
      </c>
      <c r="W171" s="4">
        <v>0.25673543491411582</v>
      </c>
      <c r="Z171" s="4">
        <v>0.13809468932720856</v>
      </c>
      <c r="AA171" s="4">
        <v>0.91479884231906894</v>
      </c>
    </row>
    <row r="172" spans="1:27" x14ac:dyDescent="0.25">
      <c r="A172" s="4" t="s">
        <v>252</v>
      </c>
      <c r="B172" s="4" t="s">
        <v>48</v>
      </c>
      <c r="D172" s="4" t="s">
        <v>43</v>
      </c>
      <c r="E172" s="4" t="s">
        <v>54</v>
      </c>
      <c r="F172" s="4">
        <v>30</v>
      </c>
      <c r="H172" s="5" t="s">
        <v>276</v>
      </c>
      <c r="J172" s="4">
        <v>0.2</v>
      </c>
      <c r="K172" s="4">
        <v>20</v>
      </c>
      <c r="L172" s="4">
        <v>0.9</v>
      </c>
      <c r="O172" s="4">
        <v>0</v>
      </c>
      <c r="P172" s="4">
        <v>10</v>
      </c>
      <c r="Q172" s="4">
        <v>0.76</v>
      </c>
      <c r="R172" s="4">
        <v>8.9010338696340147E-2</v>
      </c>
      <c r="S172" s="4">
        <v>2.8297923503839608E-3</v>
      </c>
      <c r="T172" s="4">
        <v>11.17946090200021</v>
      </c>
      <c r="U172" s="4">
        <v>0.45541679044954536</v>
      </c>
      <c r="V172" s="4">
        <v>0.66025144114252621</v>
      </c>
      <c r="W172" s="4">
        <v>1.8452807462241254E-2</v>
      </c>
      <c r="Z172" s="4">
        <v>1.94209245071333E-2</v>
      </c>
      <c r="AA172" s="4">
        <v>0.99882121892189146</v>
      </c>
    </row>
    <row r="173" spans="1:27" x14ac:dyDescent="0.25">
      <c r="A173" s="4" t="s">
        <v>253</v>
      </c>
      <c r="B173" s="4" t="s">
        <v>48</v>
      </c>
      <c r="D173" s="4" t="s">
        <v>43</v>
      </c>
      <c r="E173" s="4" t="s">
        <v>54</v>
      </c>
      <c r="F173" s="4">
        <v>40</v>
      </c>
      <c r="H173" s="5" t="s">
        <v>276</v>
      </c>
      <c r="J173" s="4">
        <v>0.2</v>
      </c>
      <c r="K173" s="4">
        <v>20</v>
      </c>
      <c r="L173" s="4">
        <v>0.9</v>
      </c>
      <c r="O173" s="4">
        <v>0</v>
      </c>
      <c r="P173" s="4">
        <v>9</v>
      </c>
      <c r="Q173" s="4">
        <v>0.76</v>
      </c>
      <c r="R173" s="4">
        <v>5.0110555964745167E-2</v>
      </c>
      <c r="S173" s="4">
        <v>7.5870811679461404E-3</v>
      </c>
      <c r="T173" s="4">
        <v>12.120437434701993</v>
      </c>
      <c r="U173" s="4">
        <v>3.9085992479147396</v>
      </c>
      <c r="V173" s="4">
        <v>0.87128998438604999</v>
      </c>
      <c r="W173" s="4">
        <v>6.7695706676923317E-2</v>
      </c>
      <c r="Z173" s="4">
        <v>0.14051509920279237</v>
      </c>
      <c r="AA173" s="4">
        <v>0.96166286271223345</v>
      </c>
    </row>
    <row r="174" spans="1:27" x14ac:dyDescent="0.25">
      <c r="A174" s="4" t="s">
        <v>254</v>
      </c>
      <c r="B174" s="4" t="s">
        <v>49</v>
      </c>
      <c r="C174" s="4" t="s">
        <v>50</v>
      </c>
      <c r="D174" s="4" t="s">
        <v>6</v>
      </c>
      <c r="F174" s="4">
        <v>5</v>
      </c>
      <c r="H174" s="5" t="s">
        <v>276</v>
      </c>
      <c r="J174" s="4">
        <v>0.2</v>
      </c>
      <c r="K174" s="4">
        <v>20</v>
      </c>
      <c r="L174" s="4">
        <v>0.9</v>
      </c>
      <c r="O174" s="4">
        <v>0</v>
      </c>
      <c r="P174" s="4">
        <v>14</v>
      </c>
      <c r="Q174" s="4">
        <v>0.91049999999999998</v>
      </c>
      <c r="R174" s="4">
        <v>5.8853814002926476E-2</v>
      </c>
      <c r="S174" s="4">
        <v>1.3933296634187909E-4</v>
      </c>
      <c r="T174" s="4">
        <v>39.687072326364174</v>
      </c>
      <c r="U174" s="4">
        <v>0.82464848986770301</v>
      </c>
      <c r="V174" s="4">
        <v>0.9371902986740499</v>
      </c>
      <c r="W174" s="4">
        <v>4.0502112126263235E-4</v>
      </c>
      <c r="Z174" s="4">
        <v>4.9549917560374338E-3</v>
      </c>
      <c r="AA174" s="4">
        <v>0.99996615103182573</v>
      </c>
    </row>
    <row r="175" spans="1:27" x14ac:dyDescent="0.25">
      <c r="A175" s="4" t="s">
        <v>255</v>
      </c>
      <c r="B175" s="4" t="s">
        <v>49</v>
      </c>
      <c r="C175" s="4" t="s">
        <v>51</v>
      </c>
      <c r="D175" s="4" t="s">
        <v>6</v>
      </c>
      <c r="F175" s="4">
        <v>5</v>
      </c>
      <c r="H175" s="5" t="s">
        <v>276</v>
      </c>
      <c r="J175" s="4">
        <v>0.2</v>
      </c>
      <c r="K175" s="4">
        <v>20</v>
      </c>
      <c r="L175" s="4">
        <v>0.9</v>
      </c>
      <c r="O175" s="4">
        <v>0</v>
      </c>
      <c r="P175" s="4">
        <v>14</v>
      </c>
      <c r="Q175" s="4">
        <v>0.91049999999999998</v>
      </c>
      <c r="R175" s="4">
        <v>5.6606729624388147E-2</v>
      </c>
      <c r="S175" s="4">
        <v>1.217578681660078E-3</v>
      </c>
      <c r="T175" s="4">
        <v>25.73172237826557</v>
      </c>
      <c r="U175" s="4">
        <v>3.4735976617415698</v>
      </c>
      <c r="V175" s="4">
        <v>0.9367404587115864</v>
      </c>
      <c r="W175" s="4">
        <v>3.6373555361874565E-3</v>
      </c>
      <c r="Z175" s="4">
        <v>4.3827886827279866E-2</v>
      </c>
      <c r="AA175" s="4">
        <v>0.99750864882698664</v>
      </c>
    </row>
    <row r="176" spans="1:27" x14ac:dyDescent="0.25">
      <c r="A176" s="4" t="s">
        <v>256</v>
      </c>
      <c r="B176" s="4" t="s">
        <v>49</v>
      </c>
      <c r="C176" s="4" t="s">
        <v>50</v>
      </c>
      <c r="D176" s="4" t="s">
        <v>6</v>
      </c>
      <c r="F176" s="4">
        <v>10</v>
      </c>
      <c r="H176" s="5" t="s">
        <v>276</v>
      </c>
      <c r="J176" s="4">
        <v>0.2</v>
      </c>
      <c r="K176" s="4">
        <v>20</v>
      </c>
      <c r="L176" s="4">
        <v>0.9</v>
      </c>
      <c r="O176" s="4">
        <v>0</v>
      </c>
      <c r="P176" s="4">
        <v>14</v>
      </c>
      <c r="Q176" s="4">
        <v>0.91039999999999999</v>
      </c>
      <c r="R176" s="4">
        <v>4.8096200335657598E-2</v>
      </c>
      <c r="S176" s="4">
        <v>7.9955282638204323E-4</v>
      </c>
      <c r="T176" s="4">
        <v>56.805992080370416</v>
      </c>
      <c r="U176" s="4">
        <v>11.33893397127431</v>
      </c>
      <c r="V176" s="4">
        <v>0.95213289281112201</v>
      </c>
      <c r="W176" s="4">
        <v>2.5331718413591545E-3</v>
      </c>
      <c r="Z176" s="4">
        <v>3.6825719915407527E-2</v>
      </c>
      <c r="AA176" s="4">
        <v>0.99824472269161968</v>
      </c>
    </row>
    <row r="177" spans="1:27" x14ac:dyDescent="0.25">
      <c r="A177" s="4" t="s">
        <v>257</v>
      </c>
      <c r="B177" s="4" t="s">
        <v>49</v>
      </c>
      <c r="C177" s="4" t="s">
        <v>51</v>
      </c>
      <c r="D177" s="4" t="s">
        <v>6</v>
      </c>
      <c r="F177" s="4">
        <v>10</v>
      </c>
      <c r="H177" s="5" t="s">
        <v>276</v>
      </c>
      <c r="J177" s="4">
        <v>0.2</v>
      </c>
      <c r="K177" s="4">
        <v>20</v>
      </c>
      <c r="L177" s="4">
        <v>0.9</v>
      </c>
      <c r="O177" s="4">
        <v>0</v>
      </c>
      <c r="P177" s="4">
        <v>14</v>
      </c>
      <c r="Q177" s="4">
        <v>0.91039999999999999</v>
      </c>
      <c r="R177" s="4">
        <v>5.1364435005334379E-2</v>
      </c>
      <c r="S177" s="4">
        <v>1.0845568991697605E-3</v>
      </c>
      <c r="T177" s="4">
        <v>47.33987771266824</v>
      </c>
      <c r="U177" s="4">
        <v>9.9049570130091134</v>
      </c>
      <c r="V177" s="4">
        <v>0.93823487865134747</v>
      </c>
      <c r="W177" s="4">
        <v>3.7275443404893882E-3</v>
      </c>
      <c r="Z177" s="4">
        <v>4.4624015385023384E-2</v>
      </c>
      <c r="AA177" s="4">
        <v>0.99715232846385027</v>
      </c>
    </row>
    <row r="178" spans="1:27" x14ac:dyDescent="0.25">
      <c r="A178" s="4" t="s">
        <v>258</v>
      </c>
      <c r="B178" s="4" t="s">
        <v>49</v>
      </c>
      <c r="C178" s="4" t="s">
        <v>50</v>
      </c>
      <c r="D178" s="4" t="s">
        <v>6</v>
      </c>
      <c r="F178" s="4">
        <v>20</v>
      </c>
      <c r="H178" s="5" t="s">
        <v>276</v>
      </c>
      <c r="J178" s="4">
        <v>0.2</v>
      </c>
      <c r="K178" s="4">
        <v>20</v>
      </c>
      <c r="L178" s="4">
        <v>0.9</v>
      </c>
      <c r="O178" s="4">
        <v>0</v>
      </c>
      <c r="P178" s="4">
        <v>14</v>
      </c>
      <c r="Q178" s="4">
        <v>0.90979999999999994</v>
      </c>
      <c r="R178" s="4">
        <v>5.7264264702963148E-2</v>
      </c>
      <c r="S178" s="4">
        <v>8.4018936543546355E-4</v>
      </c>
      <c r="T178" s="4">
        <v>58.597650462187183</v>
      </c>
      <c r="U178" s="4">
        <v>9.8164714662419374</v>
      </c>
      <c r="V178" s="4">
        <v>0.94558218927076743</v>
      </c>
      <c r="W178" s="4">
        <v>2.6568910542181206E-3</v>
      </c>
      <c r="Z178" s="4">
        <v>3.1682185367640787E-2</v>
      </c>
      <c r="AA178" s="4">
        <v>0.998543584926193</v>
      </c>
    </row>
    <row r="179" spans="1:27" s="7" customFormat="1" x14ac:dyDescent="0.25">
      <c r="A179" s="7" t="s">
        <v>259</v>
      </c>
      <c r="B179" s="7" t="s">
        <v>49</v>
      </c>
      <c r="C179" s="7" t="s">
        <v>51</v>
      </c>
      <c r="D179" s="7" t="s">
        <v>6</v>
      </c>
      <c r="F179" s="7">
        <v>20</v>
      </c>
      <c r="H179" s="8" t="s">
        <v>276</v>
      </c>
      <c r="J179" s="7">
        <v>0.2</v>
      </c>
      <c r="K179" s="7">
        <v>20</v>
      </c>
      <c r="L179" s="7">
        <v>0.9</v>
      </c>
      <c r="N179" s="9"/>
      <c r="O179" s="7">
        <v>0</v>
      </c>
      <c r="P179" s="7">
        <v>14</v>
      </c>
      <c r="Q179" s="7">
        <v>0.90979999999999994</v>
      </c>
      <c r="R179" s="7">
        <v>4.5489655155861564E-2</v>
      </c>
      <c r="S179" s="7">
        <v>9.2495174475140001E-4</v>
      </c>
      <c r="T179" s="7">
        <v>35.929554029535417</v>
      </c>
      <c r="U179" s="7">
        <v>5.8369723580191897</v>
      </c>
      <c r="V179" s="7">
        <v>0.9593248847270871</v>
      </c>
      <c r="W179" s="7">
        <v>3.1216253903539751E-3</v>
      </c>
      <c r="Z179" s="7">
        <v>4.4703021957900844E-2</v>
      </c>
      <c r="AA179" s="7">
        <v>0.99753622812946796</v>
      </c>
    </row>
    <row r="180" spans="1:27" x14ac:dyDescent="0.25">
      <c r="A180" s="4" t="s">
        <v>260</v>
      </c>
      <c r="B180" s="4" t="s">
        <v>49</v>
      </c>
      <c r="C180" s="4" t="s">
        <v>50</v>
      </c>
      <c r="D180" s="4" t="s">
        <v>6</v>
      </c>
      <c r="F180" s="4">
        <v>30</v>
      </c>
      <c r="H180" s="5" t="s">
        <v>276</v>
      </c>
      <c r="J180" s="4">
        <v>0.2</v>
      </c>
      <c r="K180" s="4">
        <v>20</v>
      </c>
      <c r="L180" s="4">
        <v>0.9</v>
      </c>
      <c r="O180" s="4">
        <v>0</v>
      </c>
      <c r="P180" s="4">
        <v>14</v>
      </c>
      <c r="Q180" s="4">
        <v>0.90839999999999999</v>
      </c>
      <c r="R180" s="4">
        <v>4.2603976140170141E-2</v>
      </c>
      <c r="S180" s="4">
        <v>9.6655724525261872E-4</v>
      </c>
      <c r="T180" s="4">
        <v>49.656423934113818</v>
      </c>
      <c r="U180" s="4">
        <v>10.988084053725533</v>
      </c>
      <c r="V180" s="4">
        <v>0.95896585866492134</v>
      </c>
      <c r="W180" s="4">
        <v>3.9809755985434738E-3</v>
      </c>
      <c r="Z180" s="4">
        <v>4.9975548149292177E-2</v>
      </c>
      <c r="AA180" s="4">
        <v>0.99651542027680751</v>
      </c>
    </row>
    <row r="181" spans="1:27" x14ac:dyDescent="0.25">
      <c r="A181" s="4" t="s">
        <v>261</v>
      </c>
      <c r="B181" s="4" t="s">
        <v>49</v>
      </c>
      <c r="C181" s="4" t="s">
        <v>51</v>
      </c>
      <c r="D181" s="4" t="s">
        <v>6</v>
      </c>
      <c r="F181" s="4">
        <v>30</v>
      </c>
      <c r="H181" s="5" t="s">
        <v>276</v>
      </c>
      <c r="J181" s="4">
        <v>0.2</v>
      </c>
      <c r="K181" s="4">
        <v>20</v>
      </c>
      <c r="L181" s="4">
        <v>0.9</v>
      </c>
      <c r="O181" s="4">
        <v>0</v>
      </c>
      <c r="P181" s="4">
        <v>14</v>
      </c>
      <c r="Q181" s="4">
        <v>0.90839999999999999</v>
      </c>
      <c r="R181" s="4">
        <v>4.0400561716395091E-2</v>
      </c>
      <c r="S181" s="4">
        <v>6.8795820457269853E-4</v>
      </c>
      <c r="T181" s="4">
        <v>46.685518519907546</v>
      </c>
      <c r="U181" s="4">
        <v>7.3160709690165531</v>
      </c>
      <c r="V181" s="4">
        <v>0.95608969296996804</v>
      </c>
      <c r="W181" s="4">
        <v>3.0753172293116666E-3</v>
      </c>
      <c r="Z181" s="4">
        <v>3.7088081937186372E-2</v>
      </c>
      <c r="AA181" s="4">
        <v>0.99806389351802927</v>
      </c>
    </row>
    <row r="182" spans="1:27" x14ac:dyDescent="0.25">
      <c r="A182" s="4" t="s">
        <v>262</v>
      </c>
      <c r="B182" s="4" t="s">
        <v>49</v>
      </c>
      <c r="C182" s="4" t="s">
        <v>50</v>
      </c>
      <c r="D182" s="4" t="s">
        <v>6</v>
      </c>
      <c r="F182" s="4">
        <v>40</v>
      </c>
      <c r="H182" s="5" t="s">
        <v>276</v>
      </c>
      <c r="J182" s="4">
        <v>0.2</v>
      </c>
      <c r="K182" s="4">
        <v>20</v>
      </c>
      <c r="L182" s="4">
        <v>0.9</v>
      </c>
      <c r="O182" s="4">
        <v>0</v>
      </c>
      <c r="P182" s="4">
        <v>13</v>
      </c>
      <c r="Q182" s="4">
        <v>0.90609999999999991</v>
      </c>
      <c r="R182" s="4">
        <v>4.1247913295235743E-2</v>
      </c>
      <c r="S182" s="4">
        <v>7.9792987100950645E-4</v>
      </c>
      <c r="T182" s="4">
        <v>46.404456778961624</v>
      </c>
      <c r="U182" s="4">
        <v>7.5805327558817943</v>
      </c>
      <c r="V182" s="4">
        <v>0.96159428686348469</v>
      </c>
      <c r="W182" s="4">
        <v>3.5513530000385418E-3</v>
      </c>
      <c r="Z182" s="4">
        <v>3.9995821538748415E-2</v>
      </c>
      <c r="AA182" s="4">
        <v>0.99778065540033745</v>
      </c>
    </row>
    <row r="183" spans="1:27" x14ac:dyDescent="0.25">
      <c r="A183" s="4" t="s">
        <v>263</v>
      </c>
      <c r="B183" s="4" t="s">
        <v>49</v>
      </c>
      <c r="C183" s="4" t="s">
        <v>51</v>
      </c>
      <c r="D183" s="4" t="s">
        <v>6</v>
      </c>
      <c r="F183" s="4">
        <v>40</v>
      </c>
      <c r="H183" s="5" t="s">
        <v>276</v>
      </c>
      <c r="J183" s="4">
        <v>0.2</v>
      </c>
      <c r="K183" s="4">
        <v>20</v>
      </c>
      <c r="L183" s="4">
        <v>0.9</v>
      </c>
      <c r="O183" s="4">
        <v>0</v>
      </c>
      <c r="P183" s="4">
        <v>13</v>
      </c>
      <c r="Q183" s="4">
        <v>0.90609999999999991</v>
      </c>
      <c r="R183" s="4">
        <v>3.664071986319796E-2</v>
      </c>
      <c r="S183" s="4">
        <v>6.8302794274078659E-4</v>
      </c>
      <c r="T183" s="4">
        <v>61.098838684664237</v>
      </c>
      <c r="U183" s="4">
        <v>12.142755730954738</v>
      </c>
      <c r="V183" s="4">
        <v>0.964599946862848</v>
      </c>
      <c r="W183" s="4">
        <v>3.3394702413329772E-3</v>
      </c>
      <c r="Z183" s="4">
        <v>3.9374797349629849E-2</v>
      </c>
      <c r="AA183" s="4">
        <v>0.99782590980027719</v>
      </c>
    </row>
    <row r="184" spans="1:27" x14ac:dyDescent="0.25">
      <c r="A184" s="4" t="s">
        <v>264</v>
      </c>
      <c r="B184" s="4" t="s">
        <v>49</v>
      </c>
      <c r="C184" s="4" t="s">
        <v>50</v>
      </c>
      <c r="D184" s="4" t="s">
        <v>6</v>
      </c>
      <c r="F184" s="4">
        <v>50</v>
      </c>
      <c r="H184" s="5" t="s">
        <v>276</v>
      </c>
      <c r="J184" s="4">
        <v>0.2</v>
      </c>
      <c r="K184" s="4">
        <v>20</v>
      </c>
      <c r="L184" s="4">
        <v>0.9</v>
      </c>
      <c r="O184" s="4">
        <v>0</v>
      </c>
      <c r="P184" s="4">
        <v>13</v>
      </c>
      <c r="Q184" s="4">
        <v>0.90290000000000004</v>
      </c>
      <c r="R184" s="4">
        <v>3.835043469152781E-2</v>
      </c>
      <c r="S184" s="4">
        <v>6.6253912361326282E-4</v>
      </c>
      <c r="T184" s="4">
        <v>54.062691380222688</v>
      </c>
      <c r="U184" s="4">
        <v>8.5410244082681661</v>
      </c>
      <c r="V184" s="4">
        <v>0.96467264232922956</v>
      </c>
      <c r="W184" s="4">
        <v>3.3970223337899215E-3</v>
      </c>
      <c r="Z184" s="4">
        <v>3.5934946771660467E-2</v>
      </c>
      <c r="AA184" s="4">
        <v>0.99808975769105668</v>
      </c>
    </row>
    <row r="185" spans="1:27" x14ac:dyDescent="0.25">
      <c r="A185" s="4" t="s">
        <v>265</v>
      </c>
      <c r="B185" s="4" t="s">
        <v>49</v>
      </c>
      <c r="C185" s="4" t="s">
        <v>51</v>
      </c>
      <c r="D185" s="4" t="s">
        <v>6</v>
      </c>
      <c r="F185" s="4">
        <v>50</v>
      </c>
      <c r="H185" s="5" t="s">
        <v>276</v>
      </c>
      <c r="J185" s="4">
        <v>0.2</v>
      </c>
      <c r="K185" s="4">
        <v>20</v>
      </c>
      <c r="L185" s="4">
        <v>0.9</v>
      </c>
      <c r="O185" s="4">
        <v>0</v>
      </c>
      <c r="P185" s="4">
        <v>13</v>
      </c>
      <c r="Q185" s="4">
        <v>0.90290000000000004</v>
      </c>
      <c r="R185" s="4">
        <v>3.637989510423402E-2</v>
      </c>
      <c r="S185" s="4">
        <v>8.2926992129178504E-4</v>
      </c>
      <c r="T185" s="4">
        <v>47.630064303413022</v>
      </c>
      <c r="U185" s="4">
        <v>8.9439576432401005</v>
      </c>
      <c r="V185" s="4">
        <v>0.96378953522568267</v>
      </c>
      <c r="W185" s="4">
        <v>4.5048649386814146E-3</v>
      </c>
      <c r="Z185" s="4">
        <v>4.7002942575928172E-2</v>
      </c>
      <c r="AA185" s="4">
        <v>0.99677588999062505</v>
      </c>
    </row>
    <row r="186" spans="1:27" x14ac:dyDescent="0.25">
      <c r="A186" s="4" t="s">
        <v>266</v>
      </c>
      <c r="B186" s="4" t="s">
        <v>49</v>
      </c>
      <c r="C186" s="4" t="s">
        <v>50</v>
      </c>
      <c r="D186" s="4" t="s">
        <v>6</v>
      </c>
      <c r="F186" s="4">
        <v>60</v>
      </c>
      <c r="H186" s="5" t="s">
        <v>276</v>
      </c>
      <c r="J186" s="4">
        <v>0.2</v>
      </c>
      <c r="K186" s="4">
        <v>20</v>
      </c>
      <c r="L186" s="4">
        <v>0.9</v>
      </c>
      <c r="O186" s="4">
        <v>0</v>
      </c>
      <c r="P186" s="4">
        <v>9</v>
      </c>
      <c r="Q186" s="4">
        <v>0.74919999999999998</v>
      </c>
      <c r="R186" s="4">
        <v>3.7591623077682483E-2</v>
      </c>
      <c r="S186" s="4">
        <v>4.7964823628133803E-4</v>
      </c>
      <c r="T186" s="4">
        <v>50.789402902315196</v>
      </c>
      <c r="U186" s="4">
        <v>3.9396129234900252</v>
      </c>
      <c r="V186" s="4">
        <v>0.97002740234071116</v>
      </c>
      <c r="W186" s="4">
        <v>5.6679953164118519E-3</v>
      </c>
      <c r="Z186" s="4">
        <v>1.5344111167806658E-2</v>
      </c>
      <c r="AA186" s="4">
        <v>0.99939616414207511</v>
      </c>
    </row>
    <row r="187" spans="1:27" x14ac:dyDescent="0.25">
      <c r="A187" s="4" t="s">
        <v>267</v>
      </c>
      <c r="B187" s="4" t="s">
        <v>49</v>
      </c>
      <c r="C187" s="4" t="s">
        <v>51</v>
      </c>
      <c r="D187" s="4" t="s">
        <v>6</v>
      </c>
      <c r="F187" s="4">
        <v>60</v>
      </c>
      <c r="H187" s="5" t="s">
        <v>276</v>
      </c>
      <c r="J187" s="4">
        <v>0.2</v>
      </c>
      <c r="K187" s="4">
        <v>20</v>
      </c>
      <c r="L187" s="4">
        <v>0.9</v>
      </c>
      <c r="O187" s="4">
        <v>0</v>
      </c>
      <c r="P187" s="4">
        <v>9</v>
      </c>
      <c r="Q187" s="4">
        <v>0.74919999999999998</v>
      </c>
      <c r="R187" s="4">
        <v>3.457803526147632E-2</v>
      </c>
      <c r="S187" s="4">
        <v>5.0865036654965362E-4</v>
      </c>
      <c r="T187" s="4">
        <v>56.014855052166716</v>
      </c>
      <c r="U187" s="4">
        <v>5.4900225045767597</v>
      </c>
      <c r="V187" s="4">
        <v>0.97602575291985294</v>
      </c>
      <c r="W187" s="4">
        <v>6.4493577777490485E-3</v>
      </c>
      <c r="Z187" s="4">
        <v>1.7958174899087121E-2</v>
      </c>
      <c r="AA187" s="4">
        <v>0.99917163751254312</v>
      </c>
    </row>
    <row r="188" spans="1:27" x14ac:dyDescent="0.25">
      <c r="A188" s="4" t="s">
        <v>268</v>
      </c>
      <c r="B188" s="4" t="s">
        <v>49</v>
      </c>
      <c r="C188" s="4" t="s">
        <v>50</v>
      </c>
      <c r="D188" s="4" t="s">
        <v>6</v>
      </c>
      <c r="F188" s="4">
        <v>70</v>
      </c>
      <c r="H188" s="5" t="s">
        <v>276</v>
      </c>
      <c r="J188" s="4">
        <v>0.2</v>
      </c>
      <c r="K188" s="4">
        <v>20</v>
      </c>
      <c r="L188" s="4">
        <v>0.9</v>
      </c>
      <c r="O188" s="4">
        <v>0</v>
      </c>
      <c r="P188" s="4">
        <v>9</v>
      </c>
      <c r="Q188" s="4">
        <v>0.74260000000000004</v>
      </c>
      <c r="R188" s="4">
        <v>3.5431158129687473E-2</v>
      </c>
      <c r="S188" s="4">
        <v>6.3492301041994086E-4</v>
      </c>
      <c r="T188" s="4">
        <v>47.359297836815301</v>
      </c>
      <c r="U188" s="4">
        <v>4.5419238446576218</v>
      </c>
      <c r="V188" s="4">
        <v>0.98133010424156342</v>
      </c>
      <c r="W188" s="4">
        <v>7.7941550216367606E-3</v>
      </c>
      <c r="Z188" s="4">
        <v>2.1296038807918378E-2</v>
      </c>
      <c r="AA188" s="4">
        <v>0.99893501142924568</v>
      </c>
    </row>
    <row r="189" spans="1:27" x14ac:dyDescent="0.25">
      <c r="A189" s="4" t="s">
        <v>269</v>
      </c>
      <c r="B189" s="4" t="s">
        <v>49</v>
      </c>
      <c r="C189" s="4" t="s">
        <v>51</v>
      </c>
      <c r="D189" s="4" t="s">
        <v>6</v>
      </c>
      <c r="F189" s="4">
        <v>70</v>
      </c>
      <c r="H189" s="5" t="s">
        <v>276</v>
      </c>
      <c r="J189" s="4">
        <v>0.2</v>
      </c>
      <c r="K189" s="4">
        <v>20</v>
      </c>
      <c r="L189" s="4">
        <v>0.9</v>
      </c>
      <c r="O189" s="4">
        <v>0</v>
      </c>
      <c r="P189" s="4">
        <v>9</v>
      </c>
      <c r="Q189" s="4">
        <v>0.74260000000000004</v>
      </c>
      <c r="R189" s="4">
        <v>3.2589159308681989E-2</v>
      </c>
      <c r="S189" s="4">
        <v>1.1409857026327532E-3</v>
      </c>
      <c r="T189" s="4">
        <v>40.521799131466182</v>
      </c>
      <c r="U189" s="4">
        <v>6.6195222687489936</v>
      </c>
      <c r="V189" s="4">
        <v>0.97392702803544351</v>
      </c>
      <c r="W189" s="4">
        <v>1.5440421946520873E-2</v>
      </c>
      <c r="Z189" s="4">
        <v>4.0678923728120694E-2</v>
      </c>
      <c r="AA189" s="4">
        <v>0.99618112268927506</v>
      </c>
    </row>
    <row r="190" spans="1:27" x14ac:dyDescent="0.25">
      <c r="A190" s="4" t="s">
        <v>270</v>
      </c>
      <c r="B190" s="4" t="s">
        <v>49</v>
      </c>
      <c r="C190" s="4" t="s">
        <v>50</v>
      </c>
      <c r="D190" s="4" t="s">
        <v>6</v>
      </c>
      <c r="F190" s="4">
        <v>80</v>
      </c>
      <c r="H190" s="5" t="s">
        <v>276</v>
      </c>
      <c r="J190" s="4">
        <v>0.2</v>
      </c>
      <c r="K190" s="4">
        <v>20</v>
      </c>
      <c r="L190" s="4">
        <v>0.9</v>
      </c>
      <c r="O190" s="4">
        <v>0</v>
      </c>
      <c r="P190" s="4">
        <v>8</v>
      </c>
      <c r="Q190" s="4">
        <v>0.73699999999999999</v>
      </c>
      <c r="R190" s="4">
        <v>3.3798105804287874E-2</v>
      </c>
      <c r="S190" s="4">
        <v>4.5698123660551786E-4</v>
      </c>
      <c r="T190" s="4">
        <v>43.826672000815933</v>
      </c>
      <c r="U190" s="4">
        <v>3.1457843507644419</v>
      </c>
      <c r="V190" s="4">
        <v>0.97133725248362501</v>
      </c>
      <c r="W190" s="4">
        <v>5.9644610605064643E-3</v>
      </c>
      <c r="Z190" s="4">
        <v>1.5485312892441261E-2</v>
      </c>
      <c r="AA190" s="4">
        <v>0.99942771157038424</v>
      </c>
    </row>
    <row r="191" spans="1:27" x14ac:dyDescent="0.25">
      <c r="A191" s="4" t="s">
        <v>271</v>
      </c>
      <c r="B191" s="4" t="s">
        <v>49</v>
      </c>
      <c r="C191" s="4" t="s">
        <v>51</v>
      </c>
      <c r="D191" s="4" t="s">
        <v>6</v>
      </c>
      <c r="F191" s="4">
        <v>80</v>
      </c>
      <c r="H191" s="5" t="s">
        <v>276</v>
      </c>
      <c r="J191" s="4">
        <v>0.2</v>
      </c>
      <c r="K191" s="4">
        <v>20</v>
      </c>
      <c r="L191" s="4">
        <v>0.9</v>
      </c>
      <c r="O191" s="4">
        <v>0</v>
      </c>
      <c r="P191" s="4">
        <v>8</v>
      </c>
      <c r="Q191" s="4">
        <v>0.73699999999999999</v>
      </c>
      <c r="R191" s="4">
        <v>3.3638913000399943E-2</v>
      </c>
      <c r="S191" s="4">
        <v>5.2846401880579132E-4</v>
      </c>
      <c r="T191" s="4">
        <v>45.106164660140074</v>
      </c>
      <c r="U191" s="4">
        <v>3.729180812624433</v>
      </c>
      <c r="V191" s="4">
        <v>0.95173443961620319</v>
      </c>
      <c r="W191" s="4">
        <v>7.3088849928971177E-3</v>
      </c>
      <c r="Z191" s="4">
        <v>1.7653837803422879E-2</v>
      </c>
      <c r="AA191" s="4">
        <v>0.9991963015519354</v>
      </c>
    </row>
    <row r="192" spans="1:27" x14ac:dyDescent="0.25">
      <c r="A192" s="4" t="s">
        <v>272</v>
      </c>
      <c r="B192" s="4" t="s">
        <v>49</v>
      </c>
      <c r="C192" s="4" t="s">
        <v>50</v>
      </c>
      <c r="D192" s="4" t="s">
        <v>6</v>
      </c>
      <c r="F192" s="4">
        <v>90</v>
      </c>
      <c r="H192" s="5" t="s">
        <v>276</v>
      </c>
      <c r="J192" s="4">
        <v>0.2</v>
      </c>
      <c r="K192" s="4">
        <v>20</v>
      </c>
      <c r="L192" s="4">
        <v>0.9</v>
      </c>
      <c r="O192" s="4">
        <v>1</v>
      </c>
      <c r="P192" s="4">
        <v>6</v>
      </c>
      <c r="Q192" s="4">
        <v>0.73240000000000005</v>
      </c>
      <c r="R192" s="4">
        <v>3.1416306118313024E-2</v>
      </c>
      <c r="S192" s="4">
        <v>1.0689265050128987E-3</v>
      </c>
      <c r="T192" s="4">
        <v>51.668286944030037</v>
      </c>
      <c r="U192" s="4">
        <v>10.59945590552195</v>
      </c>
      <c r="V192" s="4">
        <v>1.0014151665468229</v>
      </c>
      <c r="W192" s="4">
        <v>1.4559101969221843E-2</v>
      </c>
      <c r="Z192" s="4">
        <v>3.5760111374983403E-2</v>
      </c>
      <c r="AA192" s="4">
        <v>0.99715730512505907</v>
      </c>
    </row>
    <row r="193" spans="1:27" x14ac:dyDescent="0.25">
      <c r="A193" s="4" t="s">
        <v>273</v>
      </c>
      <c r="B193" s="4" t="s">
        <v>49</v>
      </c>
      <c r="C193" s="4" t="s">
        <v>51</v>
      </c>
      <c r="D193" s="4" t="s">
        <v>6</v>
      </c>
      <c r="F193" s="4">
        <v>90</v>
      </c>
      <c r="H193" s="5" t="s">
        <v>276</v>
      </c>
      <c r="J193" s="4">
        <v>0.2</v>
      </c>
      <c r="K193" s="4">
        <v>20</v>
      </c>
      <c r="L193" s="4">
        <v>0.9</v>
      </c>
      <c r="O193" s="4">
        <v>0</v>
      </c>
      <c r="P193" s="4">
        <v>6</v>
      </c>
      <c r="Q193" s="4">
        <v>0.73240000000000005</v>
      </c>
      <c r="R193" s="4">
        <v>3.1233961679262259E-2</v>
      </c>
      <c r="S193" s="4">
        <v>1.3394855218295417E-3</v>
      </c>
      <c r="T193" s="4">
        <v>62.836874873493983</v>
      </c>
      <c r="U193" s="4">
        <v>18.320330836712184</v>
      </c>
      <c r="V193" s="4">
        <v>0.97285752767524247</v>
      </c>
      <c r="W193" s="4">
        <v>2.0168788553214172E-2</v>
      </c>
      <c r="Z193" s="4">
        <v>4.45875894142106E-2</v>
      </c>
      <c r="AA193" s="4">
        <v>0.99479221963554698</v>
      </c>
    </row>
    <row r="195" spans="1:27" x14ac:dyDescent="0.25">
      <c r="A195" s="4" t="s">
        <v>140</v>
      </c>
      <c r="B195" s="4" t="s">
        <v>4</v>
      </c>
      <c r="C195" s="4" t="s">
        <v>11</v>
      </c>
      <c r="D195" s="4" t="s">
        <v>6</v>
      </c>
      <c r="F195" s="4">
        <v>20</v>
      </c>
      <c r="H195" s="5" t="s">
        <v>276</v>
      </c>
      <c r="J195" s="4">
        <v>0.2</v>
      </c>
      <c r="K195" s="4">
        <v>20</v>
      </c>
      <c r="L195" s="4">
        <v>0.9</v>
      </c>
      <c r="O195" s="4">
        <v>1</v>
      </c>
      <c r="P195" s="4">
        <v>5</v>
      </c>
      <c r="Q195" s="4">
        <v>0.42399999999999999</v>
      </c>
      <c r="R195" s="4">
        <v>0.10142127125288725</v>
      </c>
      <c r="S195" s="4">
        <v>5.8949896380388778E-2</v>
      </c>
      <c r="T195" s="4">
        <v>1.4334967225082877</v>
      </c>
      <c r="U195" s="4">
        <v>1.0527778320557573</v>
      </c>
      <c r="V195" s="4">
        <v>0.96869899409969373</v>
      </c>
      <c r="W195" s="4">
        <v>0.1314467491937219</v>
      </c>
      <c r="Z195" s="4">
        <v>6.8651049697939337E-2</v>
      </c>
      <c r="AA195" s="4">
        <v>0.98949224344264974</v>
      </c>
    </row>
    <row r="196" spans="1:27" x14ac:dyDescent="0.25">
      <c r="A196" s="4" t="s">
        <v>97</v>
      </c>
      <c r="B196" s="4" t="s">
        <v>10</v>
      </c>
      <c r="C196" s="4" t="s">
        <v>11</v>
      </c>
      <c r="D196" s="4" t="s">
        <v>6</v>
      </c>
      <c r="F196" s="4">
        <v>40</v>
      </c>
      <c r="H196" s="5" t="s">
        <v>276</v>
      </c>
      <c r="J196" s="4">
        <v>0.2</v>
      </c>
      <c r="K196" s="4">
        <v>20</v>
      </c>
      <c r="L196" s="4">
        <v>0.9</v>
      </c>
      <c r="O196" s="4">
        <v>1</v>
      </c>
      <c r="P196" s="4">
        <v>6</v>
      </c>
      <c r="Q196" s="4">
        <v>0.47300000000000003</v>
      </c>
      <c r="R196" s="4">
        <v>0.1302722238292999</v>
      </c>
      <c r="S196" s="4">
        <v>3.0128339861609912E-2</v>
      </c>
      <c r="T196" s="4">
        <v>1.0720941690634203</v>
      </c>
      <c r="U196" s="4">
        <v>0.30347393323937516</v>
      </c>
      <c r="V196" s="4">
        <v>1.0193442395792607</v>
      </c>
      <c r="W196" s="4">
        <v>4.1494550780772715E-2</v>
      </c>
      <c r="Z196" s="4">
        <v>3.8505228357358541E-2</v>
      </c>
      <c r="AA196" s="4">
        <v>0.99782256953110593</v>
      </c>
    </row>
    <row r="197" spans="1:27" x14ac:dyDescent="0.25">
      <c r="A197" s="4" t="s">
        <v>135</v>
      </c>
      <c r="B197" s="4" t="s">
        <v>21</v>
      </c>
      <c r="C197" s="4" t="s">
        <v>22</v>
      </c>
      <c r="D197" s="4" t="s">
        <v>6</v>
      </c>
      <c r="F197" s="4">
        <v>30</v>
      </c>
      <c r="H197" s="5" t="s">
        <v>276</v>
      </c>
      <c r="J197" s="4">
        <v>0.2</v>
      </c>
      <c r="K197" s="4">
        <v>20</v>
      </c>
      <c r="L197" s="4">
        <v>0.9</v>
      </c>
      <c r="O197" s="4">
        <v>2</v>
      </c>
      <c r="P197" s="4">
        <v>6</v>
      </c>
      <c r="Q197" s="4">
        <v>0.25900000000000001</v>
      </c>
      <c r="R197" s="4">
        <v>10.811795759478626</v>
      </c>
      <c r="S197" s="4">
        <v>158972.97906170494</v>
      </c>
      <c r="T197" s="4">
        <v>1.9598342934013268E-3</v>
      </c>
      <c r="U197" s="4">
        <v>28.789079952716978</v>
      </c>
      <c r="V197" s="4">
        <v>1.0189471491383397</v>
      </c>
      <c r="W197" s="4">
        <v>14.596536433539438</v>
      </c>
      <c r="Z197" s="4">
        <v>7.952046812361814E-2</v>
      </c>
      <c r="AA197" s="4">
        <v>0.99083450926793193</v>
      </c>
    </row>
    <row r="198" spans="1:27" x14ac:dyDescent="0.25">
      <c r="A198" s="4" t="s">
        <v>136</v>
      </c>
      <c r="B198" s="4" t="s">
        <v>21</v>
      </c>
      <c r="C198" s="4" t="s">
        <v>22</v>
      </c>
      <c r="D198" s="4" t="s">
        <v>6</v>
      </c>
      <c r="F198" s="4">
        <v>40</v>
      </c>
      <c r="H198" s="5" t="s">
        <v>276</v>
      </c>
      <c r="J198" s="4">
        <v>0.2</v>
      </c>
      <c r="K198" s="4">
        <v>20</v>
      </c>
      <c r="L198" s="4">
        <v>0.9</v>
      </c>
      <c r="O198" s="4">
        <v>2</v>
      </c>
      <c r="P198" s="4">
        <v>6</v>
      </c>
      <c r="Q198" s="4">
        <v>0.23599999999999999</v>
      </c>
      <c r="R198" s="4">
        <v>8.0552195386566137</v>
      </c>
      <c r="S198" s="4">
        <v>181039.89476343605</v>
      </c>
      <c r="T198" s="4">
        <v>2.9190446801329061E-3</v>
      </c>
      <c r="U198" s="4">
        <v>65.511175650132259</v>
      </c>
      <c r="V198" s="4">
        <v>1.0852564103699358</v>
      </c>
      <c r="W198" s="4">
        <v>35.368041917505089</v>
      </c>
      <c r="Z198" s="4">
        <v>0.12447227160490512</v>
      </c>
      <c r="AA198" s="4">
        <v>0.9743147342893943</v>
      </c>
    </row>
    <row r="199" spans="1:27" x14ac:dyDescent="0.25">
      <c r="A199" s="4" t="s">
        <v>134</v>
      </c>
      <c r="B199" s="4" t="s">
        <v>21</v>
      </c>
      <c r="C199" s="4" t="s">
        <v>22</v>
      </c>
      <c r="D199" s="4" t="s">
        <v>6</v>
      </c>
      <c r="F199" s="4">
        <v>20</v>
      </c>
      <c r="H199" s="5" t="s">
        <v>276</v>
      </c>
      <c r="J199" s="4">
        <v>0.2</v>
      </c>
      <c r="K199" s="4">
        <v>20</v>
      </c>
      <c r="L199" s="4">
        <v>0.9</v>
      </c>
      <c r="O199" s="4">
        <v>2</v>
      </c>
      <c r="P199" s="4">
        <v>6</v>
      </c>
      <c r="Q199" s="4">
        <v>0.22899999999999998</v>
      </c>
      <c r="R199" s="4">
        <v>15.406358849016652</v>
      </c>
      <c r="S199" s="4">
        <v>414490.0789794611</v>
      </c>
      <c r="T199" s="4">
        <v>8.5606617782796341E-3</v>
      </c>
      <c r="U199" s="4">
        <v>229.34738412092116</v>
      </c>
      <c r="V199" s="4">
        <v>0.831998877552236</v>
      </c>
      <c r="W199" s="4">
        <v>94.918132749189894</v>
      </c>
      <c r="Z199" s="4">
        <v>0.14924168582872374</v>
      </c>
      <c r="AA199" s="4">
        <v>0.90443656694996311</v>
      </c>
    </row>
    <row r="200" spans="1:27" x14ac:dyDescent="0.25">
      <c r="A200" s="4" t="s">
        <v>138</v>
      </c>
      <c r="B200" s="4" t="s">
        <v>21</v>
      </c>
      <c r="C200" s="4" t="s">
        <v>23</v>
      </c>
      <c r="D200" s="4" t="s">
        <v>6</v>
      </c>
      <c r="F200" s="4">
        <v>30</v>
      </c>
      <c r="H200" s="5" t="s">
        <v>276</v>
      </c>
      <c r="J200" s="4">
        <v>0.2</v>
      </c>
      <c r="K200" s="4">
        <v>20</v>
      </c>
      <c r="L200" s="4">
        <v>0.9</v>
      </c>
      <c r="O200" s="4">
        <v>2</v>
      </c>
      <c r="P200" s="4">
        <v>6</v>
      </c>
      <c r="Q200" s="4">
        <v>0.20900000000000007</v>
      </c>
      <c r="R200" s="4">
        <v>7.1135329655621913</v>
      </c>
      <c r="S200" s="4">
        <v>42446.515853664234</v>
      </c>
      <c r="T200" s="4">
        <v>6.2005656369078597E-3</v>
      </c>
      <c r="U200" s="4">
        <v>36.888622027212527</v>
      </c>
      <c r="V200" s="4">
        <v>0.9329439679956455</v>
      </c>
      <c r="W200" s="4">
        <v>17.031788252158897</v>
      </c>
      <c r="Z200" s="4">
        <v>8.6526744159078808E-2</v>
      </c>
      <c r="AA200" s="4">
        <v>0.97674789424514308</v>
      </c>
    </row>
    <row r="201" spans="1:27" x14ac:dyDescent="0.25">
      <c r="A201" s="4" t="s">
        <v>139</v>
      </c>
      <c r="B201" s="4" t="s">
        <v>21</v>
      </c>
      <c r="C201" s="4" t="s">
        <v>23</v>
      </c>
      <c r="D201" s="4" t="s">
        <v>6</v>
      </c>
      <c r="F201" s="4">
        <v>40</v>
      </c>
      <c r="H201" s="5" t="s">
        <v>276</v>
      </c>
      <c r="J201" s="4">
        <v>0.2</v>
      </c>
      <c r="K201" s="4">
        <v>20</v>
      </c>
      <c r="L201" s="4">
        <v>0.9</v>
      </c>
      <c r="O201" s="4">
        <v>2</v>
      </c>
      <c r="P201" s="4">
        <v>6</v>
      </c>
      <c r="Q201" s="4">
        <v>0.15200000000000002</v>
      </c>
      <c r="R201" s="4">
        <v>4.6473576259561291</v>
      </c>
      <c r="S201" s="4">
        <v>94360.248860208987</v>
      </c>
      <c r="T201" s="4">
        <v>1.2493757125388185E-2</v>
      </c>
      <c r="U201" s="4">
        <v>252.12810469600166</v>
      </c>
      <c r="V201" s="4">
        <v>0.83361722850130782</v>
      </c>
      <c r="W201" s="4">
        <v>104.42310653491268</v>
      </c>
      <c r="Z201" s="4">
        <v>8.9697548410643008E-2</v>
      </c>
      <c r="AA201" s="4">
        <v>0.92350644944328419</v>
      </c>
    </row>
    <row r="202" spans="1:27" s="7" customFormat="1" x14ac:dyDescent="0.25">
      <c r="A202" s="7" t="s">
        <v>137</v>
      </c>
      <c r="B202" s="7" t="s">
        <v>21</v>
      </c>
      <c r="C202" s="7" t="s">
        <v>23</v>
      </c>
      <c r="D202" s="7" t="s">
        <v>6</v>
      </c>
      <c r="F202" s="7">
        <v>20</v>
      </c>
      <c r="H202" s="5" t="s">
        <v>276</v>
      </c>
      <c r="J202" s="4">
        <v>0.2</v>
      </c>
      <c r="K202" s="4">
        <v>20</v>
      </c>
      <c r="L202" s="4">
        <v>0.9</v>
      </c>
      <c r="O202" s="7">
        <v>1</v>
      </c>
      <c r="P202" s="7">
        <v>6</v>
      </c>
      <c r="Q202" s="7">
        <v>0.14400000000000002</v>
      </c>
      <c r="R202" s="7">
        <v>0.11637645823425313</v>
      </c>
      <c r="S202" s="7">
        <v>0.12320289966402594</v>
      </c>
      <c r="T202" s="7">
        <v>0.82919580837189144</v>
      </c>
      <c r="U202" s="7">
        <v>1.5143236812875651</v>
      </c>
      <c r="V202" s="7">
        <v>1.099196405014319</v>
      </c>
      <c r="W202" s="7">
        <v>0.13658389281550573</v>
      </c>
      <c r="Z202" s="7">
        <v>4.15204400156233E-2</v>
      </c>
      <c r="AA202" s="7">
        <v>0.98485639670074754</v>
      </c>
    </row>
  </sheetData>
  <autoFilter ref="A1:AA162" xr:uid="{FB834907-D990-40D1-A407-E7907B56C558}">
    <sortState xmlns:xlrd2="http://schemas.microsoft.com/office/spreadsheetml/2017/richdata2" ref="A2:AA193">
      <sortCondition ref="A1:A162"/>
    </sortState>
  </autoFilter>
  <sortState xmlns:xlrd2="http://schemas.microsoft.com/office/spreadsheetml/2017/richdata2" ref="A145:AA193">
    <sortCondition ref="O145:O19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F12F-2598-466D-8881-BF02BDE342C4}">
  <sheetPr>
    <tabColor theme="0"/>
  </sheetPr>
  <dimension ref="A1:AA203"/>
  <sheetViews>
    <sheetView workbookViewId="0">
      <selection activeCell="O21" sqref="O21"/>
    </sheetView>
  </sheetViews>
  <sheetFormatPr defaultRowHeight="15" x14ac:dyDescent="0.25"/>
  <cols>
    <col min="1" max="1" width="9.140625" style="4"/>
    <col min="2" max="4" width="8.7109375" style="4" customWidth="1"/>
    <col min="5" max="5" width="7.28515625" style="4" customWidth="1"/>
    <col min="6" max="6" width="6.140625" style="4" customWidth="1"/>
    <col min="7" max="7" width="4.5703125" style="4" customWidth="1"/>
    <col min="8" max="8" width="9.140625" style="5"/>
    <col min="9" max="9" width="4.5703125" style="4" customWidth="1"/>
    <col min="10" max="13" width="9.140625" style="4"/>
    <col min="14" max="14" width="5.42578125" style="6" customWidth="1"/>
    <col min="15" max="19" width="9.140625" style="4"/>
    <col min="20" max="21" width="11.85546875" style="4" bestFit="1" customWidth="1"/>
    <col min="22" max="22" width="9.28515625" style="4" bestFit="1" customWidth="1"/>
    <col min="23" max="23" width="11.85546875" style="4" bestFit="1" customWidth="1"/>
    <col min="24" max="25" width="7.7109375" style="4" customWidth="1"/>
    <col min="26" max="16384" width="9.140625" style="4"/>
  </cols>
  <sheetData>
    <row r="1" spans="1:27" s="1" customFormat="1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52</v>
      </c>
      <c r="F1" s="1" t="s">
        <v>3</v>
      </c>
      <c r="H1" s="2" t="s">
        <v>55</v>
      </c>
      <c r="I1" s="1" t="s">
        <v>274</v>
      </c>
      <c r="J1" s="1" t="s">
        <v>63</v>
      </c>
      <c r="K1" s="1" t="s">
        <v>64</v>
      </c>
      <c r="L1" s="1" t="s">
        <v>65</v>
      </c>
      <c r="M1" s="1" t="s">
        <v>66</v>
      </c>
      <c r="N1" s="3" t="s">
        <v>67</v>
      </c>
      <c r="O1" s="1" t="s">
        <v>60</v>
      </c>
      <c r="P1" s="1" t="s">
        <v>68</v>
      </c>
      <c r="Q1" s="1" t="s">
        <v>275</v>
      </c>
      <c r="R1" s="1" t="s">
        <v>56</v>
      </c>
      <c r="S1" s="1" t="s">
        <v>69</v>
      </c>
      <c r="T1" s="1" t="s">
        <v>57</v>
      </c>
      <c r="U1" s="1" t="s">
        <v>70</v>
      </c>
      <c r="V1" s="1" t="s">
        <v>58</v>
      </c>
      <c r="W1" s="1" t="s">
        <v>71</v>
      </c>
      <c r="X1" s="1" t="s">
        <v>59</v>
      </c>
      <c r="Y1" s="1" t="s">
        <v>72</v>
      </c>
      <c r="Z1" s="1" t="s">
        <v>61</v>
      </c>
      <c r="AA1" s="1" t="s">
        <v>62</v>
      </c>
    </row>
    <row r="2" spans="1:27" x14ac:dyDescent="0.25">
      <c r="A2" s="4" t="s">
        <v>74</v>
      </c>
      <c r="B2" s="4" t="s">
        <v>4</v>
      </c>
      <c r="C2" s="4" t="s">
        <v>5</v>
      </c>
      <c r="D2" s="4" t="s">
        <v>6</v>
      </c>
      <c r="E2" s="4" t="s">
        <v>53</v>
      </c>
      <c r="F2" s="4">
        <v>20</v>
      </c>
      <c r="H2" s="5" t="s">
        <v>277</v>
      </c>
      <c r="J2" s="4">
        <f>LN(0.2)</f>
        <v>-1.6094379124341003</v>
      </c>
      <c r="K2" s="4">
        <f>-LN(20*0.9)</f>
        <v>-2.8903717578961645</v>
      </c>
      <c r="L2" s="4">
        <f>LN(9)</f>
        <v>2.1972245773362196</v>
      </c>
      <c r="O2" s="4">
        <v>2</v>
      </c>
      <c r="P2" s="4">
        <v>11</v>
      </c>
      <c r="Q2" s="4">
        <v>0.80699999999999994</v>
      </c>
      <c r="R2" s="4">
        <v>-2.6104811299966451</v>
      </c>
      <c r="S2" s="4">
        <v>0.27704530292935209</v>
      </c>
      <c r="T2" s="4">
        <v>-0.10546004007118327</v>
      </c>
      <c r="U2" s="4">
        <v>0.33110699721713105</v>
      </c>
      <c r="V2" s="4">
        <v>22.064987646799789</v>
      </c>
      <c r="W2" s="4">
        <v>153116762.87682512</v>
      </c>
      <c r="Z2" s="4">
        <v>0.12607195837692758</v>
      </c>
      <c r="AA2" s="4">
        <v>0.99381067640817833</v>
      </c>
    </row>
    <row r="3" spans="1:27" x14ac:dyDescent="0.25">
      <c r="A3" s="4" t="s">
        <v>75</v>
      </c>
      <c r="B3" s="4" t="s">
        <v>4</v>
      </c>
      <c r="C3" s="4" t="s">
        <v>5</v>
      </c>
      <c r="D3" s="4" t="s">
        <v>6</v>
      </c>
      <c r="E3" s="4" t="s">
        <v>54</v>
      </c>
      <c r="F3" s="4">
        <v>20</v>
      </c>
      <c r="H3" s="5" t="s">
        <v>277</v>
      </c>
      <c r="J3" s="4">
        <f>LN(0.2)</f>
        <v>-1.6094379124341003</v>
      </c>
      <c r="K3" s="4">
        <f>LN(20*0.9)</f>
        <v>2.8903717578961645</v>
      </c>
      <c r="L3" s="4">
        <f>LN(9)</f>
        <v>2.1972245773362196</v>
      </c>
      <c r="O3" s="4">
        <v>2</v>
      </c>
      <c r="P3" s="4">
        <v>11</v>
      </c>
      <c r="Q3" s="4">
        <v>0.80699999999999994</v>
      </c>
      <c r="R3" s="4">
        <v>-2.4125835935330064</v>
      </c>
      <c r="S3" s="4">
        <v>2.9309445946127943E-2</v>
      </c>
      <c r="T3" s="4">
        <v>5.2647028763690103E-2</v>
      </c>
      <c r="U3" s="4">
        <v>3.0282670220920858E-3</v>
      </c>
      <c r="V3" s="4">
        <v>43.530529537646089</v>
      </c>
      <c r="Z3" s="4">
        <v>2.9309445946127943E-2</v>
      </c>
      <c r="AA3" s="4">
        <v>0.99964429741000771</v>
      </c>
    </row>
    <row r="4" spans="1:27" x14ac:dyDescent="0.25">
      <c r="A4" s="4" t="s">
        <v>76</v>
      </c>
      <c r="B4" s="4" t="s">
        <v>4</v>
      </c>
      <c r="C4" s="4" t="s">
        <v>5</v>
      </c>
      <c r="D4" s="4" t="s">
        <v>6</v>
      </c>
      <c r="E4" s="4" t="s">
        <v>53</v>
      </c>
      <c r="F4" s="4">
        <v>26</v>
      </c>
      <c r="H4" s="5" t="s">
        <v>277</v>
      </c>
      <c r="J4" s="4">
        <f>LN(0.2)</f>
        <v>-1.6094379124341003</v>
      </c>
      <c r="K4" s="4">
        <f>LN(20*0.9)</f>
        <v>2.8903717578961645</v>
      </c>
      <c r="L4" s="4">
        <f>LN(9)</f>
        <v>2.1972245773362196</v>
      </c>
      <c r="O4" s="4">
        <v>2</v>
      </c>
      <c r="P4" s="4">
        <v>11</v>
      </c>
      <c r="Q4" s="4">
        <v>0.78800000000000003</v>
      </c>
      <c r="R4" s="4">
        <v>-2.9699124099064513</v>
      </c>
      <c r="S4" s="4">
        <v>9.5898968763068596E-2</v>
      </c>
      <c r="T4" s="4">
        <v>0.29478970454321185</v>
      </c>
      <c r="U4" s="4">
        <v>9.5898968763068596E-2</v>
      </c>
      <c r="V4" s="4">
        <v>92.698266727233644</v>
      </c>
      <c r="Z4" s="4">
        <v>9.5898968763068596E-2</v>
      </c>
      <c r="AA4" s="4">
        <v>0.99566127152737505</v>
      </c>
    </row>
    <row r="5" spans="1:27" x14ac:dyDescent="0.25">
      <c r="A5" s="4" t="s">
        <v>77</v>
      </c>
      <c r="B5" s="4" t="s">
        <v>4</v>
      </c>
      <c r="C5" s="4" t="s">
        <v>5</v>
      </c>
      <c r="D5" s="4" t="s">
        <v>6</v>
      </c>
      <c r="E5" s="4" t="s">
        <v>54</v>
      </c>
      <c r="F5" s="4">
        <v>26</v>
      </c>
      <c r="H5" s="5" t="s">
        <v>277</v>
      </c>
      <c r="J5" s="4">
        <f>LN(0.2)</f>
        <v>-1.6094379124341003</v>
      </c>
      <c r="K5" s="4">
        <f>-LN(20*0.9)</f>
        <v>-2.8903717578961645</v>
      </c>
      <c r="L5" s="4">
        <f>LN(9)</f>
        <v>2.1972245773362196</v>
      </c>
      <c r="O5" s="4">
        <v>1</v>
      </c>
      <c r="P5" s="4">
        <v>11</v>
      </c>
      <c r="Q5" s="4">
        <v>0.78800000000000003</v>
      </c>
      <c r="R5" s="4">
        <v>-2.4938398193691986</v>
      </c>
      <c r="S5" s="4">
        <v>0.11512345282444068</v>
      </c>
      <c r="T5" s="4">
        <v>-1.4936247757858545E-2</v>
      </c>
      <c r="U5" s="4">
        <v>0.13781012852811986</v>
      </c>
      <c r="V5" s="4">
        <v>6.766746090509896</v>
      </c>
      <c r="W5" s="4">
        <v>16.385363039337086</v>
      </c>
      <c r="Z5" s="4">
        <v>4.7519301490569994E-2</v>
      </c>
      <c r="AA5" s="4">
        <v>0.99904937414053074</v>
      </c>
    </row>
    <row r="6" spans="1:27" x14ac:dyDescent="0.25">
      <c r="A6" s="4" t="s">
        <v>78</v>
      </c>
      <c r="B6" s="4" t="s">
        <v>4</v>
      </c>
      <c r="C6" s="4" t="s">
        <v>5</v>
      </c>
      <c r="D6" s="4" t="s">
        <v>6</v>
      </c>
      <c r="E6" s="4" t="s">
        <v>53</v>
      </c>
      <c r="F6" s="4">
        <v>33</v>
      </c>
      <c r="H6" s="5" t="s">
        <v>277</v>
      </c>
      <c r="J6" s="4">
        <f>LN(0.2)</f>
        <v>-1.6094379124341003</v>
      </c>
      <c r="K6" s="4">
        <f>LN(20*0.9)</f>
        <v>2.8903717578961645</v>
      </c>
      <c r="L6" s="4">
        <f>LN(9)</f>
        <v>2.1972245773362196</v>
      </c>
      <c r="O6" s="4">
        <v>2</v>
      </c>
      <c r="P6" s="4">
        <v>11</v>
      </c>
      <c r="Q6" s="4">
        <v>0.76800000000000002</v>
      </c>
      <c r="R6" s="4">
        <v>-3.0812954095790523</v>
      </c>
      <c r="S6" s="4">
        <v>9.1573185781193805E-2</v>
      </c>
      <c r="T6" s="4">
        <v>0.29005608989181297</v>
      </c>
      <c r="U6" s="4">
        <v>9.1573185781193805E-2</v>
      </c>
      <c r="V6" s="4">
        <v>69.142985985728856</v>
      </c>
      <c r="Z6" s="4">
        <v>9.1573185781193805E-2</v>
      </c>
      <c r="AA6" s="4">
        <v>0.99593006330600919</v>
      </c>
    </row>
    <row r="7" spans="1:27" x14ac:dyDescent="0.25">
      <c r="A7" s="4" t="s">
        <v>79</v>
      </c>
      <c r="B7" s="4" t="s">
        <v>4</v>
      </c>
      <c r="C7" s="4" t="s">
        <v>5</v>
      </c>
      <c r="D7" s="4" t="s">
        <v>6</v>
      </c>
      <c r="E7" s="4" t="s">
        <v>54</v>
      </c>
      <c r="F7" s="4">
        <v>33</v>
      </c>
      <c r="H7" s="5" t="s">
        <v>277</v>
      </c>
      <c r="J7" s="4">
        <f>LN(0.2)</f>
        <v>-1.6094379124341003</v>
      </c>
      <c r="K7" s="4">
        <f>-LN(20*0.9)</f>
        <v>-2.8903717578961645</v>
      </c>
      <c r="L7" s="4">
        <f>LN(9)</f>
        <v>2.1972245773362196</v>
      </c>
      <c r="O7" s="4">
        <v>2</v>
      </c>
      <c r="P7" s="4">
        <v>11</v>
      </c>
      <c r="Q7" s="4">
        <v>0.76800000000000002</v>
      </c>
      <c r="R7" s="4">
        <v>-2.559721564011753</v>
      </c>
      <c r="S7" s="4">
        <v>0.45665228884697034</v>
      </c>
      <c r="T7" s="4">
        <v>-0.15867020776698518</v>
      </c>
      <c r="U7" s="4">
        <v>0.52454275910405423</v>
      </c>
      <c r="V7" s="4">
        <v>21.355278496470795</v>
      </c>
      <c r="W7" s="4">
        <v>141576106.32205111</v>
      </c>
      <c r="Z7" s="4">
        <v>0.14339001850435734</v>
      </c>
      <c r="AA7" s="4">
        <v>0.99162618683076975</v>
      </c>
    </row>
    <row r="8" spans="1:27" x14ac:dyDescent="0.25">
      <c r="A8" s="4" t="s">
        <v>80</v>
      </c>
      <c r="B8" s="4" t="s">
        <v>4</v>
      </c>
      <c r="C8" s="4" t="s">
        <v>5</v>
      </c>
      <c r="D8" s="4" t="s">
        <v>6</v>
      </c>
      <c r="E8" s="4" t="s">
        <v>53</v>
      </c>
      <c r="F8" s="4">
        <v>38</v>
      </c>
      <c r="H8" s="5" t="s">
        <v>277</v>
      </c>
      <c r="J8" s="4">
        <f>LN(0.2)</f>
        <v>-1.6094379124341003</v>
      </c>
      <c r="K8" s="4">
        <f>-LN(20*0.9)</f>
        <v>-2.8903717578961645</v>
      </c>
      <c r="L8" s="4">
        <f>LN(9)</f>
        <v>2.1972245773362196</v>
      </c>
      <c r="O8" s="4">
        <v>2</v>
      </c>
      <c r="P8" s="4">
        <v>11</v>
      </c>
      <c r="Q8" s="4">
        <v>0.75300000000000011</v>
      </c>
      <c r="R8" s="4">
        <v>-2.9222365046486698</v>
      </c>
      <c r="S8" s="4">
        <v>7.0605787207525583E-2</v>
      </c>
      <c r="T8" s="4">
        <v>-2.7848061219147126E-3</v>
      </c>
      <c r="U8" s="4">
        <v>4.0314952883683424E-4</v>
      </c>
      <c r="V8" s="4">
        <v>26.236281293268139</v>
      </c>
      <c r="Z8" s="4">
        <v>7.0605787207525597E-2</v>
      </c>
      <c r="AA8" s="4">
        <v>0.99779841909541656</v>
      </c>
    </row>
    <row r="9" spans="1:27" x14ac:dyDescent="0.25">
      <c r="A9" s="4" t="s">
        <v>81</v>
      </c>
      <c r="B9" s="4" t="s">
        <v>4</v>
      </c>
      <c r="C9" s="4" t="s">
        <v>5</v>
      </c>
      <c r="D9" s="4" t="s">
        <v>6</v>
      </c>
      <c r="E9" s="4" t="s">
        <v>54</v>
      </c>
      <c r="F9" s="4">
        <v>38</v>
      </c>
      <c r="H9" s="5" t="s">
        <v>277</v>
      </c>
      <c r="J9" s="4">
        <f>LN(0.2)</f>
        <v>-1.6094379124341003</v>
      </c>
      <c r="K9" s="4">
        <f>LN(20*0.9)</f>
        <v>2.8903717578961645</v>
      </c>
      <c r="L9" s="4">
        <f>LN(9)</f>
        <v>2.1972245773362196</v>
      </c>
      <c r="O9" s="4">
        <v>1</v>
      </c>
      <c r="P9" s="4">
        <v>11</v>
      </c>
      <c r="Q9" s="4">
        <v>0.75300000000000011</v>
      </c>
      <c r="R9" s="4">
        <v>-2.9043831057002727</v>
      </c>
      <c r="S9" s="4">
        <v>0.30139697515759989</v>
      </c>
      <c r="T9" s="4">
        <v>0.16769315602794208</v>
      </c>
      <c r="U9" s="4">
        <v>0.36066902021993191</v>
      </c>
      <c r="V9" s="4">
        <v>5.2662366481819003</v>
      </c>
      <c r="W9" s="4">
        <v>11.779260154672892</v>
      </c>
      <c r="Z9" s="4">
        <v>0.11277060431353721</v>
      </c>
      <c r="AA9" s="4">
        <v>0.99395377168607879</v>
      </c>
    </row>
    <row r="10" spans="1:27" x14ac:dyDescent="0.25">
      <c r="A10" s="4" t="s">
        <v>82</v>
      </c>
      <c r="B10" s="4" t="s">
        <v>4</v>
      </c>
      <c r="C10" s="4" t="s">
        <v>5</v>
      </c>
      <c r="D10" s="4" t="s">
        <v>6</v>
      </c>
      <c r="E10" s="4" t="s">
        <v>53</v>
      </c>
      <c r="F10" s="4">
        <v>44</v>
      </c>
      <c r="H10" s="5" t="s">
        <v>277</v>
      </c>
      <c r="J10" s="4">
        <f>LN(0.2)</f>
        <v>-1.6094379124341003</v>
      </c>
      <c r="K10" s="4">
        <f>LN(20*0.9)</f>
        <v>2.8903717578961645</v>
      </c>
      <c r="L10" s="4">
        <f>LN(9)</f>
        <v>2.1972245773362196</v>
      </c>
      <c r="O10" s="4">
        <v>2</v>
      </c>
      <c r="P10" s="4">
        <v>11</v>
      </c>
      <c r="Q10" s="4">
        <v>0.73799999999999999</v>
      </c>
      <c r="R10" s="4">
        <v>-3.0835194699744193</v>
      </c>
      <c r="S10" s="4">
        <v>0.23783661998187419</v>
      </c>
      <c r="T10" s="4">
        <v>3.1485132163791119E-2</v>
      </c>
      <c r="U10" s="4">
        <v>0.27473504744529459</v>
      </c>
      <c r="V10" s="4">
        <v>21.447715456734606</v>
      </c>
      <c r="W10" s="4">
        <v>97915738.509275094</v>
      </c>
      <c r="Z10" s="4">
        <v>7.401368132743838E-2</v>
      </c>
      <c r="AA10" s="4">
        <v>0.99748287639504629</v>
      </c>
    </row>
    <row r="11" spans="1:27" x14ac:dyDescent="0.25">
      <c r="A11" s="4" t="s">
        <v>83</v>
      </c>
      <c r="B11" s="4" t="s">
        <v>4</v>
      </c>
      <c r="C11" s="4" t="s">
        <v>5</v>
      </c>
      <c r="D11" s="4" t="s">
        <v>6</v>
      </c>
      <c r="E11" s="4" t="s">
        <v>54</v>
      </c>
      <c r="F11" s="4">
        <v>44</v>
      </c>
      <c r="H11" s="5" t="s">
        <v>277</v>
      </c>
      <c r="J11" s="4">
        <f>LN(0.2)</f>
        <v>-1.6094379124341003</v>
      </c>
      <c r="K11" s="4">
        <f>LN(20*0.9)</f>
        <v>2.8903717578961645</v>
      </c>
      <c r="L11" s="4">
        <f>LN(9)</f>
        <v>2.1972245773362196</v>
      </c>
      <c r="O11" s="4">
        <v>2</v>
      </c>
      <c r="P11" s="4">
        <v>11</v>
      </c>
      <c r="Q11" s="4">
        <v>0.73799999999999999</v>
      </c>
      <c r="R11" s="4">
        <v>-3.0948814789607675</v>
      </c>
      <c r="S11" s="4">
        <v>0.20498098283582136</v>
      </c>
      <c r="T11" s="4">
        <v>0.35050217179349114</v>
      </c>
      <c r="U11" s="4">
        <v>0.2536977817094957</v>
      </c>
      <c r="V11" s="4">
        <v>21.564096320357105</v>
      </c>
      <c r="W11" s="4">
        <v>107283592.88791099</v>
      </c>
      <c r="Z11" s="4">
        <v>8.6479250853115822E-2</v>
      </c>
      <c r="AA11" s="4">
        <v>0.99610599609640349</v>
      </c>
    </row>
    <row r="12" spans="1:27" x14ac:dyDescent="0.25">
      <c r="A12" s="4" t="s">
        <v>84</v>
      </c>
      <c r="B12" s="4" t="s">
        <v>7</v>
      </c>
      <c r="C12" s="4" t="s">
        <v>8</v>
      </c>
      <c r="D12" s="4" t="s">
        <v>9</v>
      </c>
      <c r="E12" s="4" t="s">
        <v>53</v>
      </c>
      <c r="F12" s="4">
        <v>5</v>
      </c>
      <c r="H12" s="5" t="s">
        <v>277</v>
      </c>
      <c r="J12" s="4">
        <f>LN(0.2)</f>
        <v>-1.6094379124341003</v>
      </c>
      <c r="K12" s="4">
        <f>LN(20*0.9)</f>
        <v>2.8903717578961645</v>
      </c>
      <c r="L12" s="4">
        <f>LN(9)</f>
        <v>2.1972245773362196</v>
      </c>
      <c r="O12" s="4">
        <v>1</v>
      </c>
      <c r="P12" s="4">
        <v>6</v>
      </c>
      <c r="Q12" s="4">
        <v>0.86</v>
      </c>
      <c r="R12" s="4">
        <v>-2.3571568561236123</v>
      </c>
      <c r="S12" s="4">
        <v>0.50622193537915239</v>
      </c>
      <c r="T12" s="4">
        <v>0.65166591360811066</v>
      </c>
      <c r="U12" s="4">
        <v>0.70072277537472794</v>
      </c>
      <c r="V12" s="4">
        <v>0.89427099857565573</v>
      </c>
      <c r="W12" s="4">
        <v>0.69443497761352047</v>
      </c>
      <c r="Z12" s="4">
        <v>0.16307758575157882</v>
      </c>
      <c r="AA12" s="4">
        <v>0.97096673114854026</v>
      </c>
    </row>
    <row r="13" spans="1:27" x14ac:dyDescent="0.25">
      <c r="A13" s="4" t="s">
        <v>85</v>
      </c>
      <c r="B13" s="4" t="s">
        <v>7</v>
      </c>
      <c r="C13" s="4" t="s">
        <v>8</v>
      </c>
      <c r="D13" s="4" t="s">
        <v>9</v>
      </c>
      <c r="E13" s="4" t="s">
        <v>54</v>
      </c>
      <c r="F13" s="4">
        <v>5</v>
      </c>
      <c r="H13" s="5" t="s">
        <v>277</v>
      </c>
      <c r="J13" s="4">
        <f>LN(0.2)</f>
        <v>-1.6094379124341003</v>
      </c>
      <c r="K13" s="4">
        <f>LN(20*0.9)</f>
        <v>2.8903717578961645</v>
      </c>
      <c r="L13" s="4">
        <f>LN(9)</f>
        <v>2.1972245773362196</v>
      </c>
      <c r="O13" s="4">
        <v>0</v>
      </c>
      <c r="P13" s="4">
        <v>5</v>
      </c>
      <c r="Q13" s="4">
        <v>0.73</v>
      </c>
      <c r="R13" s="4">
        <v>-2.6310740279091327</v>
      </c>
      <c r="S13" s="4">
        <v>0.2382164389890834</v>
      </c>
      <c r="T13" s="4">
        <v>1.284690210016594</v>
      </c>
      <c r="U13" s="4">
        <v>0.4033781321399928</v>
      </c>
      <c r="V13" s="4">
        <v>1.8047964294549961</v>
      </c>
      <c r="W13" s="4">
        <v>0.65647453332137318</v>
      </c>
      <c r="Z13" s="4">
        <v>0.10020594441075291</v>
      </c>
      <c r="AA13" s="4">
        <v>0.9877712158876587</v>
      </c>
    </row>
    <row r="14" spans="1:27" x14ac:dyDescent="0.25">
      <c r="A14" s="4" t="s">
        <v>86</v>
      </c>
      <c r="B14" s="4" t="s">
        <v>7</v>
      </c>
      <c r="C14" s="4" t="s">
        <v>8</v>
      </c>
      <c r="D14" s="4" t="s">
        <v>9</v>
      </c>
      <c r="E14" s="4" t="s">
        <v>53</v>
      </c>
      <c r="F14" s="4">
        <v>15</v>
      </c>
      <c r="H14" s="5" t="s">
        <v>277</v>
      </c>
      <c r="J14" s="4">
        <f>LN(0.2)</f>
        <v>-1.6094379124341003</v>
      </c>
      <c r="K14" s="4">
        <f>LN(20*0.9)</f>
        <v>2.8903717578961645</v>
      </c>
      <c r="L14" s="4">
        <f>LN(9)</f>
        <v>2.1972245773362196</v>
      </c>
      <c r="O14" s="4">
        <v>0</v>
      </c>
      <c r="P14" s="4">
        <v>6</v>
      </c>
      <c r="Q14" s="4">
        <v>0.86</v>
      </c>
      <c r="R14" s="4">
        <v>-2.9907762941184806</v>
      </c>
      <c r="S14" s="4">
        <v>9.4383046620274844E-2</v>
      </c>
      <c r="T14" s="4">
        <v>1.493605475843409</v>
      </c>
      <c r="U14" s="4">
        <v>0.21810709500212597</v>
      </c>
      <c r="V14" s="4">
        <v>2.2459950444979357</v>
      </c>
      <c r="W14" s="4">
        <v>0.20117087403523157</v>
      </c>
      <c r="Z14" s="4">
        <v>8.1911402625583413E-2</v>
      </c>
      <c r="AA14" s="4">
        <v>0.994171581201725</v>
      </c>
    </row>
    <row r="15" spans="1:27" x14ac:dyDescent="0.25">
      <c r="A15" s="4" t="s">
        <v>87</v>
      </c>
      <c r="B15" s="4" t="s">
        <v>7</v>
      </c>
      <c r="C15" s="4" t="s">
        <v>8</v>
      </c>
      <c r="D15" s="4" t="s">
        <v>9</v>
      </c>
      <c r="E15" s="4" t="s">
        <v>54</v>
      </c>
      <c r="F15" s="4">
        <v>15</v>
      </c>
      <c r="H15" s="5" t="s">
        <v>277</v>
      </c>
      <c r="J15" s="4">
        <f>LN(0.2)</f>
        <v>-1.6094379124341003</v>
      </c>
      <c r="K15" s="4">
        <f>LN(20*0.9)</f>
        <v>2.8903717578961645</v>
      </c>
      <c r="L15" s="4">
        <f>LN(9)</f>
        <v>2.1972245773362196</v>
      </c>
      <c r="O15" s="4">
        <v>0</v>
      </c>
      <c r="P15" s="4">
        <v>5</v>
      </c>
      <c r="Q15" s="4">
        <v>0.73</v>
      </c>
      <c r="R15" s="4">
        <v>-2.9761852182865125</v>
      </c>
      <c r="S15" s="4">
        <v>6.4487990909252155E-2</v>
      </c>
      <c r="T15" s="4">
        <v>1.8251228436052549</v>
      </c>
      <c r="U15" s="4">
        <v>0.14524901911664254</v>
      </c>
      <c r="V15" s="4">
        <v>2.4168193983094848</v>
      </c>
      <c r="W15" s="4">
        <v>0.27718627341621055</v>
      </c>
      <c r="Z15" s="4">
        <v>3.7814314352374416E-2</v>
      </c>
      <c r="AA15" s="4">
        <v>0.99805313721126965</v>
      </c>
    </row>
    <row r="16" spans="1:27" x14ac:dyDescent="0.25">
      <c r="A16" s="4" t="s">
        <v>88</v>
      </c>
      <c r="B16" s="4" t="s">
        <v>7</v>
      </c>
      <c r="C16" s="4" t="s">
        <v>8</v>
      </c>
      <c r="D16" s="4" t="s">
        <v>9</v>
      </c>
      <c r="E16" s="4" t="s">
        <v>53</v>
      </c>
      <c r="F16" s="4">
        <v>20</v>
      </c>
      <c r="H16" s="5" t="s">
        <v>277</v>
      </c>
      <c r="J16" s="4">
        <f>LN(0.2)</f>
        <v>-1.6094379124341003</v>
      </c>
      <c r="K16" s="4">
        <f>LN(20*0.9)</f>
        <v>2.8903717578961645</v>
      </c>
      <c r="L16" s="4">
        <f>LN(9)</f>
        <v>2.1972245773362196</v>
      </c>
      <c r="O16" s="4">
        <v>0</v>
      </c>
      <c r="P16" s="4">
        <v>6</v>
      </c>
      <c r="Q16" s="4">
        <v>0.86</v>
      </c>
      <c r="R16" s="4">
        <v>-3.1964905985200067</v>
      </c>
      <c r="S16" s="4">
        <v>7.9591593457535068E-2</v>
      </c>
      <c r="T16" s="4">
        <v>1.852140169199243</v>
      </c>
      <c r="U16" s="4">
        <v>0.24037564401683381</v>
      </c>
      <c r="V16" s="4">
        <v>3.1022867696344876</v>
      </c>
      <c r="W16" s="4">
        <v>0.23923998701016216</v>
      </c>
      <c r="Z16" s="4">
        <v>9.0867363899136272E-2</v>
      </c>
      <c r="AA16" s="4">
        <v>0.99397342709653225</v>
      </c>
    </row>
    <row r="17" spans="1:27" x14ac:dyDescent="0.25">
      <c r="A17" s="4" t="s">
        <v>89</v>
      </c>
      <c r="B17" s="4" t="s">
        <v>7</v>
      </c>
      <c r="C17" s="4" t="s">
        <v>8</v>
      </c>
      <c r="D17" s="4" t="s">
        <v>9</v>
      </c>
      <c r="E17" s="4" t="s">
        <v>54</v>
      </c>
      <c r="F17" s="4">
        <v>20</v>
      </c>
      <c r="H17" s="5" t="s">
        <v>277</v>
      </c>
      <c r="J17" s="4">
        <f>LN(0.2)</f>
        <v>-1.6094379124341003</v>
      </c>
      <c r="K17" s="4">
        <f>LN(20*0.9)</f>
        <v>2.8903717578961645</v>
      </c>
      <c r="L17" s="4">
        <f>LN(9)</f>
        <v>2.1972245773362196</v>
      </c>
      <c r="O17" s="4">
        <v>2</v>
      </c>
      <c r="P17" s="4">
        <v>5</v>
      </c>
      <c r="Q17" s="4">
        <v>0.73</v>
      </c>
      <c r="R17" s="4">
        <v>-3.2087979505511797</v>
      </c>
      <c r="S17" s="4">
        <v>9.9933381245600694E-2</v>
      </c>
      <c r="T17" s="4">
        <v>2.1776874700420179</v>
      </c>
      <c r="U17" s="4">
        <v>9.9933381245600694E-2</v>
      </c>
      <c r="V17" s="4">
        <v>131.89673136491078</v>
      </c>
      <c r="Z17" s="4">
        <v>9.9933381245600694E-2</v>
      </c>
      <c r="AA17" s="4">
        <v>0.9885402988504518</v>
      </c>
    </row>
    <row r="18" spans="1:27" x14ac:dyDescent="0.25">
      <c r="A18" s="4" t="s">
        <v>90</v>
      </c>
      <c r="B18" s="4" t="s">
        <v>7</v>
      </c>
      <c r="C18" s="4" t="s">
        <v>8</v>
      </c>
      <c r="D18" s="4" t="s">
        <v>9</v>
      </c>
      <c r="E18" s="4" t="s">
        <v>53</v>
      </c>
      <c r="F18" s="4">
        <v>25</v>
      </c>
      <c r="H18" s="5" t="s">
        <v>277</v>
      </c>
      <c r="J18" s="4">
        <f>LN(0.2)</f>
        <v>-1.6094379124341003</v>
      </c>
      <c r="K18" s="4">
        <f>LN(20*0.9)</f>
        <v>2.8903717578961645</v>
      </c>
      <c r="L18" s="4">
        <f>LN(9)</f>
        <v>2.1972245773362196</v>
      </c>
      <c r="O18" s="4">
        <v>0</v>
      </c>
      <c r="P18" s="4">
        <v>6</v>
      </c>
      <c r="Q18" s="4">
        <v>0.86</v>
      </c>
      <c r="R18" s="4">
        <v>-3.2823009169324608</v>
      </c>
      <c r="S18" s="4">
        <v>3.7377586534144851E-2</v>
      </c>
      <c r="T18" s="4">
        <v>1.9147704207825211</v>
      </c>
      <c r="U18" s="4">
        <v>0.11369797367159826</v>
      </c>
      <c r="V18" s="4">
        <v>2.8223571352537209</v>
      </c>
      <c r="W18" s="4">
        <v>0.10106530414791171</v>
      </c>
      <c r="Z18" s="4">
        <v>4.1016295067443018E-2</v>
      </c>
      <c r="AA18" s="4">
        <v>0.99862332709730661</v>
      </c>
    </row>
    <row r="19" spans="1:27" x14ac:dyDescent="0.25">
      <c r="A19" s="4" t="s">
        <v>91</v>
      </c>
      <c r="B19" s="4" t="s">
        <v>7</v>
      </c>
      <c r="C19" s="4" t="s">
        <v>8</v>
      </c>
      <c r="D19" s="4" t="s">
        <v>9</v>
      </c>
      <c r="E19" s="4" t="s">
        <v>54</v>
      </c>
      <c r="F19" s="4">
        <v>25</v>
      </c>
      <c r="H19" s="5" t="s">
        <v>277</v>
      </c>
      <c r="J19" s="4">
        <f>LN(0.2)</f>
        <v>-1.6094379124341003</v>
      </c>
      <c r="K19" s="4">
        <f>LN(20*0.9)</f>
        <v>2.8903717578961645</v>
      </c>
      <c r="L19" s="4">
        <f>LN(9)</f>
        <v>2.1972245773362196</v>
      </c>
      <c r="O19" s="4">
        <v>1</v>
      </c>
      <c r="P19" s="4">
        <v>5</v>
      </c>
      <c r="Q19" s="4">
        <v>0.73</v>
      </c>
      <c r="R19" s="4">
        <v>-3.2094927884588094</v>
      </c>
      <c r="S19" s="4">
        <v>0.26721416569074757</v>
      </c>
      <c r="T19" s="4">
        <v>2.0738495539460047</v>
      </c>
      <c r="U19" s="4">
        <v>0.69901184738365518</v>
      </c>
      <c r="V19" s="4">
        <v>2.7538143708387071</v>
      </c>
      <c r="W19" s="4">
        <v>1.4901861117828672</v>
      </c>
      <c r="Z19" s="4">
        <v>0.17504882091537999</v>
      </c>
      <c r="AA19" s="4">
        <v>0.957081421632205</v>
      </c>
    </row>
    <row r="20" spans="1:27" x14ac:dyDescent="0.25">
      <c r="A20" s="4" t="s">
        <v>92</v>
      </c>
      <c r="B20" s="4" t="s">
        <v>7</v>
      </c>
      <c r="C20" s="4" t="s">
        <v>8</v>
      </c>
      <c r="D20" s="4" t="s">
        <v>9</v>
      </c>
      <c r="E20" s="4" t="s">
        <v>53</v>
      </c>
      <c r="F20" s="4">
        <v>30</v>
      </c>
      <c r="H20" s="5" t="s">
        <v>277</v>
      </c>
      <c r="J20" s="4">
        <f>LN(0.2)</f>
        <v>-1.6094379124341003</v>
      </c>
      <c r="K20" s="4">
        <f>LN(20*0.9)</f>
        <v>2.8903717578961645</v>
      </c>
      <c r="L20" s="4">
        <f>LN(9)</f>
        <v>2.1972245773362196</v>
      </c>
      <c r="O20" s="4">
        <v>0</v>
      </c>
      <c r="P20" s="4">
        <v>6</v>
      </c>
      <c r="Q20" s="4">
        <v>0.86</v>
      </c>
      <c r="R20" s="4">
        <v>-3.3440353842425554</v>
      </c>
      <c r="S20" s="4">
        <v>2.0663038427359087E-2</v>
      </c>
      <c r="T20" s="4">
        <v>1.8989947562141543</v>
      </c>
      <c r="U20" s="4">
        <v>6.1421126327018981E-2</v>
      </c>
      <c r="V20" s="4">
        <v>2.6807080197973927</v>
      </c>
      <c r="W20" s="4">
        <v>5.3026321558201042E-2</v>
      </c>
      <c r="Z20" s="4">
        <v>2.1960785594445465E-2</v>
      </c>
      <c r="AA20" s="4">
        <v>0.99958743993114785</v>
      </c>
    </row>
    <row r="21" spans="1:27" x14ac:dyDescent="0.25">
      <c r="A21" s="4" t="s">
        <v>93</v>
      </c>
      <c r="B21" s="4" t="s">
        <v>7</v>
      </c>
      <c r="C21" s="4" t="s">
        <v>8</v>
      </c>
      <c r="D21" s="4" t="s">
        <v>9</v>
      </c>
      <c r="E21" s="4" t="s">
        <v>54</v>
      </c>
      <c r="F21" s="4">
        <v>30</v>
      </c>
      <c r="H21" s="5" t="s">
        <v>277</v>
      </c>
      <c r="J21" s="4">
        <f>LN(0.2)</f>
        <v>-1.6094379124341003</v>
      </c>
      <c r="K21" s="4">
        <f>LN(20*0.9)</f>
        <v>2.8903717578961645</v>
      </c>
      <c r="L21" s="4">
        <f>LN(9)</f>
        <v>2.1972245773362196</v>
      </c>
      <c r="O21" s="4">
        <v>0</v>
      </c>
      <c r="P21" s="4">
        <v>5</v>
      </c>
      <c r="Q21" s="4">
        <v>0.73</v>
      </c>
      <c r="R21" s="4">
        <v>-3.2086182372267902</v>
      </c>
      <c r="S21" s="4">
        <v>4.1575470368194783E-2</v>
      </c>
      <c r="T21" s="4">
        <v>1.9723340000593801</v>
      </c>
      <c r="U21" s="4">
        <v>0.10172605065469688</v>
      </c>
      <c r="V21" s="4">
        <v>2.5245874608379251</v>
      </c>
      <c r="W21" s="4">
        <v>0.1956930137244714</v>
      </c>
      <c r="Z21" s="4">
        <v>2.5820793751851392E-2</v>
      </c>
      <c r="AA21" s="4">
        <v>0.99905185887752501</v>
      </c>
    </row>
    <row r="22" spans="1:27" x14ac:dyDescent="0.25">
      <c r="A22" s="4" t="s">
        <v>94</v>
      </c>
      <c r="B22" s="4" t="s">
        <v>7</v>
      </c>
      <c r="C22" s="4" t="s">
        <v>8</v>
      </c>
      <c r="D22" s="4" t="s">
        <v>9</v>
      </c>
      <c r="E22" s="4" t="s">
        <v>53</v>
      </c>
      <c r="F22" s="4">
        <v>35</v>
      </c>
      <c r="H22" s="5" t="s">
        <v>277</v>
      </c>
      <c r="J22" s="4">
        <f>LN(0.2)</f>
        <v>-1.6094379124341003</v>
      </c>
      <c r="K22" s="4">
        <f>LN(20*0.9)</f>
        <v>2.8903717578961645</v>
      </c>
      <c r="L22" s="4">
        <f>LN(9)</f>
        <v>2.1972245773362196</v>
      </c>
      <c r="O22" s="4">
        <v>0</v>
      </c>
      <c r="P22" s="4">
        <v>6</v>
      </c>
      <c r="Q22" s="4">
        <v>0.86</v>
      </c>
      <c r="R22" s="4">
        <v>-3.5314079599035835</v>
      </c>
      <c r="S22" s="4">
        <v>5.8913635357149892E-2</v>
      </c>
      <c r="T22" s="4">
        <v>2.1103757271388197</v>
      </c>
      <c r="U22" s="4">
        <v>0.20680179017013953</v>
      </c>
      <c r="V22" s="4">
        <v>3.2366825356275513</v>
      </c>
      <c r="W22" s="4">
        <v>0.19242039867579752</v>
      </c>
      <c r="Z22" s="4">
        <v>7.133094912222504E-2</v>
      </c>
      <c r="AA22" s="4">
        <v>0.9961518836366613</v>
      </c>
    </row>
    <row r="23" spans="1:27" x14ac:dyDescent="0.25">
      <c r="A23" s="4" t="s">
        <v>95</v>
      </c>
      <c r="B23" s="4" t="s">
        <v>7</v>
      </c>
      <c r="C23" s="4" t="s">
        <v>8</v>
      </c>
      <c r="D23" s="4" t="s">
        <v>9</v>
      </c>
      <c r="E23" s="4" t="s">
        <v>54</v>
      </c>
      <c r="F23" s="4">
        <v>35</v>
      </c>
      <c r="H23" s="5" t="s">
        <v>277</v>
      </c>
      <c r="J23" s="4">
        <f>LN(0.2)</f>
        <v>-1.6094379124341003</v>
      </c>
      <c r="K23" s="4">
        <f>LN(20*0.9)</f>
        <v>2.8903717578961645</v>
      </c>
      <c r="L23" s="4">
        <f>LN(9)</f>
        <v>2.1972245773362196</v>
      </c>
      <c r="O23" s="4">
        <v>0</v>
      </c>
      <c r="P23" s="4">
        <v>5</v>
      </c>
      <c r="Q23" s="4">
        <v>0.73</v>
      </c>
      <c r="R23" s="4">
        <v>-3.2602824645645789</v>
      </c>
      <c r="S23" s="4">
        <v>7.7617142355281762E-2</v>
      </c>
      <c r="T23" s="4">
        <v>1.9804280322628196</v>
      </c>
      <c r="U23" s="4">
        <v>0.18859766179086573</v>
      </c>
      <c r="V23" s="4">
        <v>2.3245351688374845</v>
      </c>
      <c r="W23" s="4">
        <v>0.32246442805754594</v>
      </c>
      <c r="Z23" s="4">
        <v>4.6974812464286232E-2</v>
      </c>
      <c r="AA23" s="4">
        <v>0.99669206683909106</v>
      </c>
    </row>
    <row r="24" spans="1:27" x14ac:dyDescent="0.25">
      <c r="A24" s="4" t="s">
        <v>96</v>
      </c>
      <c r="B24" s="4" t="s">
        <v>10</v>
      </c>
      <c r="C24" s="4" t="s">
        <v>11</v>
      </c>
      <c r="D24" s="4" t="s">
        <v>6</v>
      </c>
      <c r="F24" s="4">
        <v>35</v>
      </c>
      <c r="H24" s="5" t="s">
        <v>277</v>
      </c>
      <c r="J24" s="4">
        <f>LN(0.2)</f>
        <v>-1.6094379124341003</v>
      </c>
      <c r="K24" s="4">
        <f>LN(20*0.9)</f>
        <v>2.8903717578961645</v>
      </c>
      <c r="L24" s="4">
        <f>LN(9)</f>
        <v>2.1972245773362196</v>
      </c>
      <c r="O24" s="4">
        <v>2</v>
      </c>
      <c r="P24" s="4">
        <v>6</v>
      </c>
      <c r="Q24" s="4">
        <v>0.53200000000000003</v>
      </c>
      <c r="R24" s="4">
        <v>-1.8237835936921563</v>
      </c>
      <c r="S24" s="4">
        <v>0.40566187300756257</v>
      </c>
      <c r="T24" s="4">
        <v>1.4152263904619194E-2</v>
      </c>
      <c r="U24" s="4">
        <v>0.56547370599994407</v>
      </c>
      <c r="V24" s="4">
        <v>21.968439565384042</v>
      </c>
      <c r="W24" s="4">
        <v>231207888.31577358</v>
      </c>
      <c r="Z24" s="4">
        <v>8.9855825909303813E-2</v>
      </c>
      <c r="AA24" s="4">
        <v>0.99121457123375789</v>
      </c>
    </row>
    <row r="25" spans="1:27" x14ac:dyDescent="0.25">
      <c r="A25" s="4" t="s">
        <v>98</v>
      </c>
      <c r="B25" s="4" t="s">
        <v>10</v>
      </c>
      <c r="C25" s="4" t="s">
        <v>11</v>
      </c>
      <c r="D25" s="4" t="s">
        <v>6</v>
      </c>
      <c r="F25" s="4">
        <v>50</v>
      </c>
      <c r="H25" s="5" t="s">
        <v>277</v>
      </c>
      <c r="J25" s="4">
        <f>LN(0.2)</f>
        <v>-1.6094379124341003</v>
      </c>
      <c r="K25" s="4">
        <f>-LN(20*0.9)</f>
        <v>-2.8903717578961645</v>
      </c>
      <c r="L25" s="4">
        <f>LN(9)</f>
        <v>2.1972245773362196</v>
      </c>
      <c r="O25" s="4">
        <v>1</v>
      </c>
      <c r="P25" s="4">
        <v>7</v>
      </c>
      <c r="Q25" s="4">
        <v>0.57700000000000007</v>
      </c>
      <c r="R25" s="4">
        <v>-1.7210574429389629</v>
      </c>
      <c r="S25" s="4">
        <v>1.6447995133138114</v>
      </c>
      <c r="T25" s="4">
        <v>-0.98185364649208762</v>
      </c>
      <c r="U25" s="4">
        <v>1.7549627851986103</v>
      </c>
      <c r="V25" s="4">
        <v>4.283352590536607</v>
      </c>
      <c r="W25" s="4">
        <v>13.525529350834073</v>
      </c>
      <c r="Z25" s="4">
        <v>0.11821068148374665</v>
      </c>
      <c r="AA25" s="4">
        <v>0.98984924773629557</v>
      </c>
    </row>
    <row r="26" spans="1:27" x14ac:dyDescent="0.25">
      <c r="A26" s="4" t="s">
        <v>99</v>
      </c>
      <c r="B26" s="4" t="s">
        <v>10</v>
      </c>
      <c r="C26" s="4" t="s">
        <v>11</v>
      </c>
      <c r="D26" s="4" t="s">
        <v>6</v>
      </c>
      <c r="F26" s="4">
        <v>60</v>
      </c>
      <c r="H26" s="5" t="s">
        <v>277</v>
      </c>
      <c r="J26" s="4">
        <f>LN(0.2)</f>
        <v>-1.6094379124341003</v>
      </c>
      <c r="K26" s="4">
        <f>-LN(20*0.9)</f>
        <v>-2.8903717578961645</v>
      </c>
      <c r="L26" s="4">
        <f>LN(9)</f>
        <v>2.1972245773362196</v>
      </c>
      <c r="O26" s="4">
        <v>2</v>
      </c>
      <c r="P26" s="4">
        <v>7</v>
      </c>
      <c r="Q26" s="4">
        <v>0.63500000000000001</v>
      </c>
      <c r="R26" s="4">
        <v>-1.7833140783560873E-7</v>
      </c>
      <c r="S26" s="4">
        <v>4.3969795318354852E-8</v>
      </c>
      <c r="T26" s="4">
        <v>-3.4906131829186542</v>
      </c>
      <c r="U26" s="4">
        <v>9.3165376890560397E-2</v>
      </c>
      <c r="V26" s="4">
        <v>25.485746956376939</v>
      </c>
      <c r="Z26" s="4">
        <v>9.3165376890560397E-2</v>
      </c>
      <c r="AA26" s="4">
        <v>0.99689600386884369</v>
      </c>
    </row>
    <row r="27" spans="1:27" x14ac:dyDescent="0.25">
      <c r="A27" s="4" t="s">
        <v>100</v>
      </c>
      <c r="B27" s="4" t="s">
        <v>10</v>
      </c>
      <c r="C27" s="4" t="s">
        <v>11</v>
      </c>
      <c r="D27" s="4" t="s">
        <v>6</v>
      </c>
      <c r="F27" s="4">
        <v>65</v>
      </c>
      <c r="H27" s="5" t="s">
        <v>277</v>
      </c>
      <c r="J27" s="4">
        <f>LN(0.2)</f>
        <v>-1.6094379124341003</v>
      </c>
      <c r="K27" s="4">
        <f>-LN(20*0.9)</f>
        <v>-2.8903717578961645</v>
      </c>
      <c r="L27" s="4">
        <f>LN(9)</f>
        <v>2.1972245773362196</v>
      </c>
      <c r="O27" s="4">
        <v>2</v>
      </c>
      <c r="P27" s="4">
        <v>6</v>
      </c>
      <c r="Q27" s="4">
        <v>0.55700000000000005</v>
      </c>
      <c r="R27" s="4">
        <v>-9.7431376325370893E-8</v>
      </c>
      <c r="S27" s="4">
        <v>9.0693567030321062E-8</v>
      </c>
      <c r="T27" s="4">
        <v>-4.0001732886946053</v>
      </c>
      <c r="U27" s="4">
        <v>0.38175256674570496</v>
      </c>
      <c r="V27" s="4">
        <v>52.079598931627864</v>
      </c>
      <c r="Z27" s="4">
        <v>0.38175256674570496</v>
      </c>
      <c r="AA27" s="4">
        <v>0.95306591559404397</v>
      </c>
    </row>
    <row r="28" spans="1:27" x14ac:dyDescent="0.25">
      <c r="A28" s="4" t="s">
        <v>101</v>
      </c>
      <c r="B28" s="4" t="s">
        <v>12</v>
      </c>
      <c r="C28" s="4" t="s">
        <v>13</v>
      </c>
      <c r="D28" s="4" t="s">
        <v>14</v>
      </c>
      <c r="F28" s="4">
        <v>20</v>
      </c>
      <c r="H28" s="5" t="s">
        <v>277</v>
      </c>
      <c r="J28" s="4">
        <f>LN(0.2)</f>
        <v>-1.6094379124341003</v>
      </c>
      <c r="K28" s="4">
        <f>LN(20*0.9)</f>
        <v>2.8903717578961645</v>
      </c>
      <c r="L28" s="4">
        <f>LN(9)</f>
        <v>2.1972245773362196</v>
      </c>
      <c r="O28" s="4">
        <v>0</v>
      </c>
      <c r="P28" s="4">
        <v>7</v>
      </c>
      <c r="Q28" s="4">
        <v>0.87556979179499994</v>
      </c>
      <c r="R28" s="4">
        <v>-1.5912685259150667</v>
      </c>
      <c r="S28" s="4">
        <v>4.7931546364506104E-2</v>
      </c>
      <c r="T28" s="4">
        <v>3.1315810584296799</v>
      </c>
      <c r="U28" s="4">
        <v>8.9788132507671856E-2</v>
      </c>
      <c r="V28" s="4">
        <v>1.613037157936325</v>
      </c>
      <c r="W28" s="4">
        <v>0.17273781751875736</v>
      </c>
      <c r="Z28" s="4">
        <v>5.6786440215354103E-2</v>
      </c>
      <c r="AA28" s="4">
        <v>0.99772946673731566</v>
      </c>
    </row>
    <row r="29" spans="1:27" x14ac:dyDescent="0.25">
      <c r="A29" s="4" t="s">
        <v>102</v>
      </c>
      <c r="B29" s="4" t="s">
        <v>12</v>
      </c>
      <c r="C29" s="4" t="s">
        <v>13</v>
      </c>
      <c r="D29" s="4" t="s">
        <v>14</v>
      </c>
      <c r="F29" s="4">
        <v>20</v>
      </c>
      <c r="H29" s="5" t="s">
        <v>277</v>
      </c>
      <c r="J29" s="4">
        <f>LN(0.2)</f>
        <v>-1.6094379124341003</v>
      </c>
      <c r="K29" s="4">
        <f>LN(20*0.9)</f>
        <v>2.8903717578961645</v>
      </c>
      <c r="L29" s="4">
        <f>LN(9)</f>
        <v>2.1972245773362196</v>
      </c>
      <c r="O29" s="4">
        <v>0</v>
      </c>
      <c r="P29" s="4">
        <v>7</v>
      </c>
      <c r="Q29" s="4">
        <v>0.87556979179499994</v>
      </c>
      <c r="R29" s="4">
        <v>-1.6396627215813657</v>
      </c>
      <c r="S29" s="4">
        <v>5.0833122316888898E-2</v>
      </c>
      <c r="T29" s="4">
        <v>3.2096132351438835</v>
      </c>
      <c r="U29" s="4">
        <v>9.776241123571569E-2</v>
      </c>
      <c r="V29" s="4">
        <v>1.7575687915593994</v>
      </c>
      <c r="W29" s="4">
        <v>0.19347321477167348</v>
      </c>
      <c r="Z29" s="4">
        <v>6.2313143278181028E-2</v>
      </c>
      <c r="AA29" s="4">
        <v>0.99722966473852992</v>
      </c>
    </row>
    <row r="30" spans="1:27" x14ac:dyDescent="0.25">
      <c r="A30" s="4" t="s">
        <v>103</v>
      </c>
      <c r="B30" s="4" t="s">
        <v>12</v>
      </c>
      <c r="C30" s="4" t="s">
        <v>13</v>
      </c>
      <c r="D30" s="4" t="s">
        <v>14</v>
      </c>
      <c r="F30" s="4">
        <v>20</v>
      </c>
      <c r="H30" s="5" t="s">
        <v>277</v>
      </c>
      <c r="J30" s="4">
        <f>LN(0.2)</f>
        <v>-1.6094379124341003</v>
      </c>
      <c r="K30" s="4">
        <f>LN(20*0.9)</f>
        <v>2.8903717578961645</v>
      </c>
      <c r="L30" s="4">
        <f>LN(9)</f>
        <v>2.1972245773362196</v>
      </c>
      <c r="O30" s="4">
        <v>0</v>
      </c>
      <c r="P30" s="4">
        <v>7</v>
      </c>
      <c r="Q30" s="4">
        <v>0.87556979179499994</v>
      </c>
      <c r="R30" s="4">
        <v>-1.5732042058101592</v>
      </c>
      <c r="S30" s="4">
        <v>3.6526422941587568E-2</v>
      </c>
      <c r="T30" s="4">
        <v>3.0655703328876549</v>
      </c>
      <c r="U30" s="4">
        <v>6.7169643623026951E-2</v>
      </c>
      <c r="V30" s="4">
        <v>1.5569666407465312</v>
      </c>
      <c r="W30" s="4">
        <v>0.12857636193499014</v>
      </c>
      <c r="Z30" s="4">
        <v>4.2339441594968337E-2</v>
      </c>
      <c r="AA30" s="4">
        <v>0.99876563070551572</v>
      </c>
    </row>
    <row r="31" spans="1:27" x14ac:dyDescent="0.25">
      <c r="A31" s="4" t="s">
        <v>104</v>
      </c>
      <c r="B31" s="4" t="s">
        <v>12</v>
      </c>
      <c r="C31" s="4" t="s">
        <v>13</v>
      </c>
      <c r="D31" s="4" t="s">
        <v>14</v>
      </c>
      <c r="F31" s="4">
        <v>30</v>
      </c>
      <c r="H31" s="5" t="s">
        <v>277</v>
      </c>
      <c r="J31" s="4">
        <f>LN(0.2)</f>
        <v>-1.6094379124341003</v>
      </c>
      <c r="K31" s="4">
        <f>LN(20*0.9)</f>
        <v>2.8903717578961645</v>
      </c>
      <c r="L31" s="4">
        <f>LN(9)</f>
        <v>2.1972245773362196</v>
      </c>
      <c r="O31" s="4">
        <v>0</v>
      </c>
      <c r="P31" s="4">
        <v>7</v>
      </c>
      <c r="Q31" s="4">
        <v>0.87547957779499996</v>
      </c>
      <c r="R31" s="4">
        <v>-1.8195320760193265</v>
      </c>
      <c r="S31" s="4">
        <v>0.12309109471392696</v>
      </c>
      <c r="T31" s="4">
        <v>3.0114324048126733</v>
      </c>
      <c r="U31" s="4">
        <v>0.23601216292918975</v>
      </c>
      <c r="V31" s="4">
        <v>2.165105081824747</v>
      </c>
      <c r="W31" s="4">
        <v>0.53984995230689325</v>
      </c>
      <c r="Z31" s="4">
        <v>0.15180013735049119</v>
      </c>
      <c r="AA31" s="4">
        <v>0.9853000204696597</v>
      </c>
    </row>
    <row r="32" spans="1:27" x14ac:dyDescent="0.25">
      <c r="A32" s="4" t="s">
        <v>105</v>
      </c>
      <c r="B32" s="4" t="s">
        <v>12</v>
      </c>
      <c r="C32" s="4" t="s">
        <v>13</v>
      </c>
      <c r="D32" s="4" t="s">
        <v>14</v>
      </c>
      <c r="F32" s="4">
        <v>30</v>
      </c>
      <c r="H32" s="5" t="s">
        <v>277</v>
      </c>
      <c r="J32" s="4">
        <f>LN(0.2)</f>
        <v>-1.6094379124341003</v>
      </c>
      <c r="K32" s="4">
        <f>LN(20*0.9)</f>
        <v>2.8903717578961645</v>
      </c>
      <c r="L32" s="4">
        <f>LN(9)</f>
        <v>2.1972245773362196</v>
      </c>
      <c r="O32" s="4">
        <v>0</v>
      </c>
      <c r="P32" s="4">
        <v>7</v>
      </c>
      <c r="Q32" s="4">
        <v>0.87547957779499996</v>
      </c>
      <c r="R32" s="4">
        <v>-1.8319952413583795</v>
      </c>
      <c r="S32" s="4">
        <v>0.12017089415232143</v>
      </c>
      <c r="T32" s="4">
        <v>2.9676691283213139</v>
      </c>
      <c r="U32" s="4">
        <v>0.22901579750627185</v>
      </c>
      <c r="V32" s="4">
        <v>2.2556800539368038</v>
      </c>
      <c r="W32" s="4">
        <v>0.54826420013607968</v>
      </c>
      <c r="Z32" s="4">
        <v>0.14821774283777642</v>
      </c>
      <c r="AA32" s="4">
        <v>0.98649828452698762</v>
      </c>
    </row>
    <row r="33" spans="1:27" x14ac:dyDescent="0.25">
      <c r="A33" s="4" t="s">
        <v>106</v>
      </c>
      <c r="B33" s="4" t="s">
        <v>12</v>
      </c>
      <c r="C33" s="4" t="s">
        <v>13</v>
      </c>
      <c r="D33" s="4" t="s">
        <v>14</v>
      </c>
      <c r="F33" s="4">
        <v>30</v>
      </c>
      <c r="H33" s="5" t="s">
        <v>277</v>
      </c>
      <c r="J33" s="4">
        <f>LN(0.2)</f>
        <v>-1.6094379124341003</v>
      </c>
      <c r="K33" s="4">
        <f>LN(20*0.9)</f>
        <v>2.8903717578961645</v>
      </c>
      <c r="L33" s="4">
        <f>LN(9)</f>
        <v>2.1972245773362196</v>
      </c>
      <c r="O33" s="4">
        <v>0</v>
      </c>
      <c r="P33" s="4">
        <v>7</v>
      </c>
      <c r="Q33" s="4">
        <v>0.87547957779499996</v>
      </c>
      <c r="R33" s="4">
        <v>-1.8415120403767431</v>
      </c>
      <c r="S33" s="4">
        <v>0.11712348438210929</v>
      </c>
      <c r="T33" s="4">
        <v>3.0998274485244597</v>
      </c>
      <c r="U33" s="4">
        <v>0.22961072166226443</v>
      </c>
      <c r="V33" s="4">
        <v>2.1918170210264774</v>
      </c>
      <c r="W33" s="4">
        <v>0.52523221547966326</v>
      </c>
      <c r="Z33" s="4">
        <v>0.14744176162519085</v>
      </c>
      <c r="AA33" s="4">
        <v>0.98559583249103255</v>
      </c>
    </row>
    <row r="34" spans="1:27" x14ac:dyDescent="0.25">
      <c r="A34" s="4" t="s">
        <v>107</v>
      </c>
      <c r="B34" s="4" t="s">
        <v>12</v>
      </c>
      <c r="C34" s="4" t="s">
        <v>13</v>
      </c>
      <c r="D34" s="4" t="s">
        <v>14</v>
      </c>
      <c r="F34" s="4">
        <v>40</v>
      </c>
      <c r="H34" s="5" t="s">
        <v>277</v>
      </c>
      <c r="J34" s="4">
        <f>LN(0.2)</f>
        <v>-1.6094379124341003</v>
      </c>
      <c r="K34" s="4">
        <f>LN(20*0.9)</f>
        <v>2.8903717578961645</v>
      </c>
      <c r="L34" s="4">
        <f>LN(9)</f>
        <v>2.1972245773362196</v>
      </c>
      <c r="O34" s="4">
        <v>0</v>
      </c>
      <c r="P34" s="4">
        <v>7</v>
      </c>
      <c r="Q34" s="4">
        <v>0.875833763795</v>
      </c>
      <c r="R34" s="4">
        <v>-1.826257730155989</v>
      </c>
      <c r="S34" s="4">
        <v>0.13446767073567376</v>
      </c>
      <c r="T34" s="4">
        <v>2.2703678211489606</v>
      </c>
      <c r="U34" s="4">
        <v>0.22242297419735224</v>
      </c>
      <c r="V34" s="4">
        <v>2.1549320519769597</v>
      </c>
      <c r="W34" s="4">
        <v>0.5280159995173207</v>
      </c>
      <c r="Z34" s="4">
        <v>0.13783197409441567</v>
      </c>
      <c r="AA34" s="4">
        <v>0.99081279724972071</v>
      </c>
    </row>
    <row r="35" spans="1:27" x14ac:dyDescent="0.25">
      <c r="A35" s="4" t="s">
        <v>108</v>
      </c>
      <c r="B35" s="4" t="s">
        <v>12</v>
      </c>
      <c r="C35" s="4" t="s">
        <v>13</v>
      </c>
      <c r="D35" s="4" t="s">
        <v>14</v>
      </c>
      <c r="F35" s="4">
        <v>40</v>
      </c>
      <c r="H35" s="5" t="s">
        <v>277</v>
      </c>
      <c r="J35" s="4">
        <f>LN(0.2)</f>
        <v>-1.6094379124341003</v>
      </c>
      <c r="K35" s="4">
        <f>LN(20*0.9)</f>
        <v>2.8903717578961645</v>
      </c>
      <c r="L35" s="4">
        <f>LN(9)</f>
        <v>2.1972245773362196</v>
      </c>
      <c r="O35" s="4">
        <v>0</v>
      </c>
      <c r="P35" s="4">
        <v>7</v>
      </c>
      <c r="Q35" s="4">
        <v>0.875833763795</v>
      </c>
      <c r="R35" s="4">
        <v>-1.803134045278165</v>
      </c>
      <c r="S35" s="4">
        <v>0.17664729144682129</v>
      </c>
      <c r="T35" s="4">
        <v>2.1105944965096866</v>
      </c>
      <c r="U35" s="4">
        <v>0.28113371988410168</v>
      </c>
      <c r="V35" s="4">
        <v>2.0705375417870169</v>
      </c>
      <c r="W35" s="4">
        <v>0.64945113546019573</v>
      </c>
      <c r="Z35" s="4">
        <v>0.17023420948186946</v>
      </c>
      <c r="AA35" s="4">
        <v>0.9867501436507442</v>
      </c>
    </row>
    <row r="36" spans="1:27" x14ac:dyDescent="0.25">
      <c r="A36" s="4" t="s">
        <v>109</v>
      </c>
      <c r="B36" s="4" t="s">
        <v>12</v>
      </c>
      <c r="C36" s="4" t="s">
        <v>13</v>
      </c>
      <c r="D36" s="4" t="s">
        <v>14</v>
      </c>
      <c r="F36" s="4">
        <v>40</v>
      </c>
      <c r="H36" s="5" t="s">
        <v>277</v>
      </c>
      <c r="J36" s="4">
        <f>LN(0.2)</f>
        <v>-1.6094379124341003</v>
      </c>
      <c r="K36" s="4">
        <f>LN(20*0.9)</f>
        <v>2.8903717578961645</v>
      </c>
      <c r="L36" s="4">
        <f>LN(9)</f>
        <v>2.1972245773362196</v>
      </c>
      <c r="O36" s="4">
        <v>0</v>
      </c>
      <c r="P36" s="4">
        <v>7</v>
      </c>
      <c r="Q36" s="4">
        <v>0.875833763795</v>
      </c>
      <c r="R36" s="4">
        <v>-1.8367192949796241</v>
      </c>
      <c r="S36" s="4">
        <v>0.13803339218255786</v>
      </c>
      <c r="T36" s="4">
        <v>2.4420002330087649</v>
      </c>
      <c r="U36" s="4">
        <v>0.23791974657269208</v>
      </c>
      <c r="V36" s="4">
        <v>2.2236124042081964</v>
      </c>
      <c r="W36" s="4">
        <v>0.57510828381034407</v>
      </c>
      <c r="Z36" s="4">
        <v>0.14983932149047699</v>
      </c>
      <c r="AA36" s="4">
        <v>0.98836646526886884</v>
      </c>
    </row>
    <row r="37" spans="1:27" x14ac:dyDescent="0.25">
      <c r="A37" s="4" t="s">
        <v>110</v>
      </c>
      <c r="B37" s="4" t="s">
        <v>12</v>
      </c>
      <c r="C37" s="4" t="s">
        <v>13</v>
      </c>
      <c r="D37" s="4" t="s">
        <v>14</v>
      </c>
      <c r="F37" s="4">
        <v>50</v>
      </c>
      <c r="H37" s="5" t="s">
        <v>277</v>
      </c>
      <c r="J37" s="4">
        <f>LN(0.2)</f>
        <v>-1.6094379124341003</v>
      </c>
      <c r="K37" s="4">
        <f>LN(20*0.9)</f>
        <v>2.8903717578961645</v>
      </c>
      <c r="L37" s="4">
        <f>LN(9)</f>
        <v>2.1972245773362196</v>
      </c>
      <c r="O37" s="4">
        <v>0</v>
      </c>
      <c r="P37" s="4">
        <v>7</v>
      </c>
      <c r="Q37" s="4">
        <v>0.87663234979500004</v>
      </c>
      <c r="R37" s="4">
        <v>-1.6084523909122146</v>
      </c>
      <c r="S37" s="4">
        <v>6.4239040497282893E-2</v>
      </c>
      <c r="T37" s="4">
        <v>1.3138732996396554</v>
      </c>
      <c r="U37" s="4">
        <v>8.6144052394802342E-2</v>
      </c>
      <c r="V37" s="4">
        <v>1.6566218692273704</v>
      </c>
      <c r="W37" s="4">
        <v>0.16625838078549307</v>
      </c>
      <c r="Z37" s="4">
        <v>4.1079364869357551E-2</v>
      </c>
      <c r="AA37" s="4">
        <v>0.99939147136913042</v>
      </c>
    </row>
    <row r="38" spans="1:27" x14ac:dyDescent="0.25">
      <c r="A38" s="4" t="s">
        <v>111</v>
      </c>
      <c r="B38" s="4" t="s">
        <v>12</v>
      </c>
      <c r="C38" s="4" t="s">
        <v>13</v>
      </c>
      <c r="D38" s="4" t="s">
        <v>14</v>
      </c>
      <c r="F38" s="4">
        <v>50</v>
      </c>
      <c r="H38" s="5" t="s">
        <v>277</v>
      </c>
      <c r="J38" s="4">
        <f>LN(0.2)</f>
        <v>-1.6094379124341003</v>
      </c>
      <c r="K38" s="4">
        <f>LN(20*0.9)</f>
        <v>2.8903717578961645</v>
      </c>
      <c r="L38" s="4">
        <f>LN(9)</f>
        <v>2.1972245773362196</v>
      </c>
      <c r="O38" s="4">
        <v>0</v>
      </c>
      <c r="P38" s="4">
        <v>7</v>
      </c>
      <c r="Q38" s="4">
        <v>0.87663234979500004</v>
      </c>
      <c r="R38" s="4">
        <v>-1.5654804309299715</v>
      </c>
      <c r="S38" s="4">
        <v>0.24408972323552658</v>
      </c>
      <c r="T38" s="4">
        <v>1.2044998545756234</v>
      </c>
      <c r="U38" s="4">
        <v>0.31974764895073365</v>
      </c>
      <c r="V38" s="4">
        <v>1.6003556341935152</v>
      </c>
      <c r="W38" s="4">
        <v>0.60068515414037682</v>
      </c>
      <c r="Z38" s="4">
        <v>0.14498319425019018</v>
      </c>
      <c r="AA38" s="4">
        <v>0.99283338327557413</v>
      </c>
    </row>
    <row r="39" spans="1:27" x14ac:dyDescent="0.25">
      <c r="A39" s="4" t="s">
        <v>112</v>
      </c>
      <c r="B39" s="4" t="s">
        <v>12</v>
      </c>
      <c r="C39" s="4" t="s">
        <v>13</v>
      </c>
      <c r="D39" s="4" t="s">
        <v>14</v>
      </c>
      <c r="F39" s="4">
        <v>50</v>
      </c>
      <c r="H39" s="5" t="s">
        <v>277</v>
      </c>
      <c r="J39" s="4">
        <f>LN(0.2)</f>
        <v>-1.6094379124341003</v>
      </c>
      <c r="K39" s="4">
        <f>LN(20*0.9)</f>
        <v>2.8903717578961645</v>
      </c>
      <c r="L39" s="4">
        <f>LN(9)</f>
        <v>2.1972245773362196</v>
      </c>
      <c r="O39" s="4">
        <v>0</v>
      </c>
      <c r="P39" s="4">
        <v>7</v>
      </c>
      <c r="Q39" s="4">
        <v>0.87663234979500004</v>
      </c>
      <c r="R39" s="4">
        <v>-1.4932069420599268</v>
      </c>
      <c r="S39" s="4">
        <v>0.11880584028421144</v>
      </c>
      <c r="T39" s="4">
        <v>1.0501724842319826</v>
      </c>
      <c r="U39" s="4">
        <v>0.150049520411973</v>
      </c>
      <c r="V39" s="4">
        <v>1.4423660844513535</v>
      </c>
      <c r="W39" s="4">
        <v>0.26493238990433937</v>
      </c>
      <c r="Z39" s="4">
        <v>6.1520555583390542E-2</v>
      </c>
      <c r="AA39" s="4">
        <v>0.99873361932773663</v>
      </c>
    </row>
    <row r="40" spans="1:27" x14ac:dyDescent="0.25">
      <c r="A40" s="4" t="s">
        <v>113</v>
      </c>
      <c r="B40" s="4" t="s">
        <v>12</v>
      </c>
      <c r="C40" s="4" t="s">
        <v>13</v>
      </c>
      <c r="D40" s="4" t="s">
        <v>14</v>
      </c>
      <c r="F40" s="4">
        <v>60</v>
      </c>
      <c r="H40" s="5" t="s">
        <v>277</v>
      </c>
      <c r="J40" s="4">
        <f>LN(0.2)</f>
        <v>-1.6094379124341003</v>
      </c>
      <c r="K40" s="4">
        <f>LN(20*0.9)</f>
        <v>2.8903717578961645</v>
      </c>
      <c r="L40" s="4">
        <f>LN(9)</f>
        <v>2.1972245773362196</v>
      </c>
      <c r="O40" s="4">
        <v>1</v>
      </c>
      <c r="P40" s="4">
        <v>7</v>
      </c>
      <c r="Q40" s="4">
        <v>0.87787533579499999</v>
      </c>
      <c r="R40" s="4">
        <v>-2.2103484095046726</v>
      </c>
      <c r="S40" s="4">
        <v>0.25000863856278122</v>
      </c>
      <c r="T40" s="4">
        <v>2.296245421246546</v>
      </c>
      <c r="U40" s="4">
        <v>0.45364553215939668</v>
      </c>
      <c r="V40" s="4">
        <v>3.5651812770978624</v>
      </c>
      <c r="W40" s="4">
        <v>2.4065171235610863</v>
      </c>
      <c r="Z40" s="4">
        <v>0.29429044970755919</v>
      </c>
      <c r="AA40" s="4">
        <v>0.95891475979577689</v>
      </c>
    </row>
    <row r="41" spans="1:27" x14ac:dyDescent="0.25">
      <c r="A41" s="4" t="s">
        <v>114</v>
      </c>
      <c r="B41" s="4" t="s">
        <v>12</v>
      </c>
      <c r="C41" s="4" t="s">
        <v>13</v>
      </c>
      <c r="D41" s="4" t="s">
        <v>14</v>
      </c>
      <c r="F41" s="4">
        <v>60</v>
      </c>
      <c r="H41" s="5" t="s">
        <v>277</v>
      </c>
      <c r="J41" s="4">
        <f>LN(0.2)</f>
        <v>-1.6094379124341003</v>
      </c>
      <c r="K41" s="4">
        <f>LN(20*0.9)</f>
        <v>2.8903717578961645</v>
      </c>
      <c r="L41" s="4">
        <f>LN(9)</f>
        <v>2.1972245773362196</v>
      </c>
      <c r="O41" s="4">
        <v>0</v>
      </c>
      <c r="P41" s="4">
        <v>7</v>
      </c>
      <c r="Q41" s="4">
        <v>0.87787533579499999</v>
      </c>
      <c r="R41" s="4">
        <v>-2.1494723696001361</v>
      </c>
      <c r="S41" s="4">
        <v>0.1704946041064187</v>
      </c>
      <c r="T41" s="4">
        <v>2.195212337492459</v>
      </c>
      <c r="U41" s="4">
        <v>0.29925215690247148</v>
      </c>
      <c r="V41" s="4">
        <v>3.178056200287684</v>
      </c>
      <c r="W41" s="4">
        <v>1.2029142968195052</v>
      </c>
      <c r="Z41" s="4">
        <v>0.19124834749356917</v>
      </c>
      <c r="AA41" s="4">
        <v>0.98281248619552508</v>
      </c>
    </row>
    <row r="42" spans="1:27" x14ac:dyDescent="0.25">
      <c r="A42" s="4" t="s">
        <v>115</v>
      </c>
      <c r="B42" s="4" t="s">
        <v>12</v>
      </c>
      <c r="C42" s="4" t="s">
        <v>13</v>
      </c>
      <c r="D42" s="4" t="s">
        <v>14</v>
      </c>
      <c r="F42" s="4">
        <v>60</v>
      </c>
      <c r="H42" s="5" t="s">
        <v>277</v>
      </c>
      <c r="J42" s="4">
        <f>LN(0.2)</f>
        <v>-1.6094379124341003</v>
      </c>
      <c r="K42" s="4">
        <f>LN(20*0.9)</f>
        <v>2.8903717578961645</v>
      </c>
      <c r="L42" s="4">
        <f>LN(9)</f>
        <v>2.1972245773362196</v>
      </c>
      <c r="O42" s="4">
        <v>1</v>
      </c>
      <c r="P42" s="4">
        <v>7</v>
      </c>
      <c r="Q42" s="4">
        <v>0.87787533579499999</v>
      </c>
      <c r="R42" s="4">
        <v>-2.2307484569461544</v>
      </c>
      <c r="S42" s="4">
        <v>0.31059961486976645</v>
      </c>
      <c r="T42" s="4">
        <v>2.3727841430395946</v>
      </c>
      <c r="U42" s="4">
        <v>0.57586208396085459</v>
      </c>
      <c r="V42" s="4">
        <v>3.7268061668185246</v>
      </c>
      <c r="W42" s="4">
        <v>3.4434946444837014</v>
      </c>
      <c r="Z42" s="4">
        <v>0.37496593284969154</v>
      </c>
      <c r="AA42" s="4">
        <v>0.93242465346126602</v>
      </c>
    </row>
    <row r="43" spans="1:27" x14ac:dyDescent="0.25">
      <c r="A43" s="4" t="s">
        <v>117</v>
      </c>
      <c r="B43" s="4" t="s">
        <v>15</v>
      </c>
      <c r="C43" s="4" t="s">
        <v>16</v>
      </c>
      <c r="D43" s="4" t="s">
        <v>14</v>
      </c>
      <c r="F43" s="4">
        <v>20</v>
      </c>
      <c r="H43" s="5" t="s">
        <v>277</v>
      </c>
      <c r="J43" s="4">
        <f>LN(0.2)</f>
        <v>-1.6094379124341003</v>
      </c>
      <c r="K43" s="4">
        <f>-LN(20*0.9)</f>
        <v>-2.8903717578961645</v>
      </c>
      <c r="L43" s="4">
        <f>LN(9)</f>
        <v>2.1972245773362196</v>
      </c>
      <c r="O43" s="4">
        <v>2</v>
      </c>
      <c r="P43" s="4">
        <v>9</v>
      </c>
      <c r="Q43" s="4">
        <v>0.72699999999999998</v>
      </c>
      <c r="R43" s="4">
        <v>-1.1864162975780359</v>
      </c>
      <c r="S43" s="4">
        <v>0.74620540972070748</v>
      </c>
      <c r="T43" s="4">
        <v>-0.49129680725461833</v>
      </c>
      <c r="U43" s="4">
        <v>0.90420098459138853</v>
      </c>
      <c r="V43" s="4">
        <v>23.277025604326425</v>
      </c>
      <c r="W43" s="4">
        <v>1248742119.1788836</v>
      </c>
      <c r="Z43" s="4">
        <v>0.20932359250905022</v>
      </c>
      <c r="AA43" s="4">
        <v>0.97652426212579746</v>
      </c>
    </row>
    <row r="44" spans="1:27" x14ac:dyDescent="0.25">
      <c r="A44" s="4" t="s">
        <v>118</v>
      </c>
      <c r="B44" s="4" t="s">
        <v>15</v>
      </c>
      <c r="C44" s="4" t="s">
        <v>16</v>
      </c>
      <c r="D44" s="4" t="s">
        <v>14</v>
      </c>
      <c r="F44" s="4">
        <v>35</v>
      </c>
      <c r="H44" s="5" t="s">
        <v>277</v>
      </c>
      <c r="J44" s="4">
        <f>LN(0.2)</f>
        <v>-1.6094379124341003</v>
      </c>
      <c r="K44" s="4">
        <f>LN(20*0.9)</f>
        <v>2.8903717578961645</v>
      </c>
      <c r="L44" s="4">
        <f>LN(9)</f>
        <v>2.1972245773362196</v>
      </c>
      <c r="O44" s="4">
        <v>2</v>
      </c>
      <c r="P44" s="4">
        <v>9</v>
      </c>
      <c r="Q44" s="4">
        <v>0.72699999999999998</v>
      </c>
      <c r="R44" s="4">
        <v>-1.9002253881169553</v>
      </c>
      <c r="S44" s="4">
        <v>0.16373506723506706</v>
      </c>
      <c r="T44" s="4">
        <v>0.28452979181638721</v>
      </c>
      <c r="U44" s="4">
        <v>0.16373506723506706</v>
      </c>
      <c r="V44" s="4">
        <v>82.979892343788322</v>
      </c>
      <c r="Z44" s="4">
        <v>0.16373506723506706</v>
      </c>
      <c r="AA44" s="4">
        <v>0.98040077355532984</v>
      </c>
    </row>
    <row r="45" spans="1:27" x14ac:dyDescent="0.25">
      <c r="A45" s="4" t="s">
        <v>119</v>
      </c>
      <c r="B45" s="4" t="s">
        <v>15</v>
      </c>
      <c r="C45" s="4" t="s">
        <v>16</v>
      </c>
      <c r="D45" s="4" t="s">
        <v>14</v>
      </c>
      <c r="F45" s="4">
        <v>35</v>
      </c>
      <c r="H45" s="5" t="s">
        <v>277</v>
      </c>
      <c r="J45" s="4">
        <f>LN(0.2)</f>
        <v>-1.6094379124341003</v>
      </c>
      <c r="K45" s="4">
        <f>LN(20*0.9)</f>
        <v>2.8903717578961645</v>
      </c>
      <c r="L45" s="4">
        <f>LN(9)</f>
        <v>2.1972245773362196</v>
      </c>
      <c r="O45" s="4">
        <v>2</v>
      </c>
      <c r="P45" s="4">
        <v>9</v>
      </c>
      <c r="Q45" s="4">
        <v>0.72699999999999998</v>
      </c>
      <c r="R45" s="4">
        <v>-1.7854950621658252</v>
      </c>
      <c r="S45" s="4">
        <v>0.15878683350417697</v>
      </c>
      <c r="T45" s="4">
        <v>0.18454845862737793</v>
      </c>
      <c r="U45" s="4">
        <v>0.15878683350417697</v>
      </c>
      <c r="V45" s="4">
        <v>137.74541674811735</v>
      </c>
      <c r="Z45" s="4">
        <v>0.15878683350417697</v>
      </c>
      <c r="AA45" s="4">
        <v>0.98237190896234905</v>
      </c>
    </row>
    <row r="46" spans="1:27" x14ac:dyDescent="0.25">
      <c r="A46" s="4" t="s">
        <v>120</v>
      </c>
      <c r="B46" s="4" t="s">
        <v>15</v>
      </c>
      <c r="C46" s="4" t="s">
        <v>16</v>
      </c>
      <c r="D46" s="4" t="s">
        <v>14</v>
      </c>
      <c r="F46" s="4">
        <v>50</v>
      </c>
      <c r="H46" s="5" t="s">
        <v>277</v>
      </c>
      <c r="J46" s="4">
        <f>LN(0.2)</f>
        <v>-1.6094379124341003</v>
      </c>
      <c r="K46" s="4">
        <f>LN(20*0.9)</f>
        <v>2.8903717578961645</v>
      </c>
      <c r="L46" s="4">
        <f>LN(9)</f>
        <v>2.1972245773362196</v>
      </c>
      <c r="O46" s="4">
        <v>1</v>
      </c>
      <c r="P46" s="4">
        <v>9</v>
      </c>
      <c r="Q46" s="4">
        <v>0.72699999999999998</v>
      </c>
      <c r="R46" s="4">
        <v>-2.1468006133267235</v>
      </c>
      <c r="S46" s="4">
        <v>0.26711633278296182</v>
      </c>
      <c r="T46" s="4">
        <v>0.42211291869136008</v>
      </c>
      <c r="U46" s="4">
        <v>0.37203126904430944</v>
      </c>
      <c r="V46" s="4">
        <v>2.5320224025334666</v>
      </c>
      <c r="W46" s="4">
        <v>0.87986305235347761</v>
      </c>
      <c r="Z46" s="4">
        <v>9.9848583776582248E-2</v>
      </c>
      <c r="AA46" s="4">
        <v>0.99024857605957883</v>
      </c>
    </row>
    <row r="47" spans="1:27" x14ac:dyDescent="0.25">
      <c r="A47" s="4" t="s">
        <v>121</v>
      </c>
      <c r="B47" s="4" t="s">
        <v>15</v>
      </c>
      <c r="C47" s="4" t="s">
        <v>16</v>
      </c>
      <c r="D47" s="4" t="s">
        <v>14</v>
      </c>
      <c r="F47" s="4">
        <v>50</v>
      </c>
      <c r="H47" s="5" t="s">
        <v>277</v>
      </c>
      <c r="J47" s="4">
        <f>LN(0.2)</f>
        <v>-1.6094379124341003</v>
      </c>
      <c r="K47" s="4">
        <f>LN(20*0.9)</f>
        <v>2.8903717578961645</v>
      </c>
      <c r="L47" s="4">
        <f>LN(9)</f>
        <v>2.1972245773362196</v>
      </c>
      <c r="O47" s="4">
        <v>1</v>
      </c>
      <c r="P47" s="4">
        <v>9</v>
      </c>
      <c r="Q47" s="4">
        <v>0.72699999999999998</v>
      </c>
      <c r="R47" s="4">
        <v>-2.0604513633621062</v>
      </c>
      <c r="S47" s="4">
        <v>0.38993501835447214</v>
      </c>
      <c r="T47" s="4">
        <v>0.21178466528000892</v>
      </c>
      <c r="U47" s="4">
        <v>0.51447207979373555</v>
      </c>
      <c r="V47" s="4">
        <v>2.7054412288360927</v>
      </c>
      <c r="W47" s="4">
        <v>1.3470076311150103</v>
      </c>
      <c r="Z47" s="4">
        <v>0.13009916541516262</v>
      </c>
      <c r="AA47" s="4">
        <v>0.98552691064171571</v>
      </c>
    </row>
    <row r="48" spans="1:27" x14ac:dyDescent="0.25">
      <c r="A48" s="4" t="s">
        <v>128</v>
      </c>
      <c r="B48" s="4" t="s">
        <v>19</v>
      </c>
      <c r="C48" s="4" t="s">
        <v>20</v>
      </c>
      <c r="D48" s="4" t="s">
        <v>6</v>
      </c>
      <c r="F48" s="4">
        <v>40</v>
      </c>
      <c r="H48" s="5" t="s">
        <v>277</v>
      </c>
      <c r="J48" s="4">
        <f>LN(0.2)</f>
        <v>-1.6094379124341003</v>
      </c>
      <c r="K48" s="4">
        <f>LN(20*0.9)</f>
        <v>2.8903717578961645</v>
      </c>
      <c r="L48" s="4">
        <f>LN(9)</f>
        <v>2.1972245773362196</v>
      </c>
      <c r="O48" s="4">
        <v>2</v>
      </c>
      <c r="P48" s="4">
        <v>6</v>
      </c>
      <c r="Q48" s="4">
        <v>0.69000000000000006</v>
      </c>
      <c r="R48" s="4">
        <v>-2.2541105132844614</v>
      </c>
      <c r="S48" s="4">
        <v>0.36054467132178175</v>
      </c>
      <c r="T48" s="4">
        <v>1.9608642111090995</v>
      </c>
      <c r="U48" s="4">
        <v>0.36054467132178175</v>
      </c>
      <c r="V48" s="4">
        <v>224.00725378609857</v>
      </c>
      <c r="Z48" s="4">
        <v>0.36054467132178175</v>
      </c>
      <c r="AA48" s="4">
        <v>0.85289849360068637</v>
      </c>
    </row>
    <row r="49" spans="1:27" x14ac:dyDescent="0.25">
      <c r="A49" s="4" t="s">
        <v>129</v>
      </c>
      <c r="B49" s="4" t="s">
        <v>19</v>
      </c>
      <c r="C49" s="4" t="s">
        <v>20</v>
      </c>
      <c r="D49" s="4" t="s">
        <v>6</v>
      </c>
      <c r="F49" s="4">
        <v>60</v>
      </c>
      <c r="H49" s="5" t="s">
        <v>277</v>
      </c>
      <c r="J49" s="4">
        <f>LN(0.2)</f>
        <v>-1.6094379124341003</v>
      </c>
      <c r="K49" s="4">
        <f>LN(20*0.9)</f>
        <v>2.8903717578961645</v>
      </c>
      <c r="L49" s="4">
        <f>LN(9)</f>
        <v>2.1972245773362196</v>
      </c>
      <c r="O49" s="4">
        <v>2</v>
      </c>
      <c r="P49" s="4">
        <v>7</v>
      </c>
      <c r="Q49" s="4">
        <v>0.69299999999999995</v>
      </c>
      <c r="R49" s="4">
        <v>-2.7437751049335279</v>
      </c>
      <c r="S49" s="4">
        <v>0.48059474049428785</v>
      </c>
      <c r="T49" s="4">
        <v>1.9279102348353039</v>
      </c>
      <c r="U49" s="4">
        <v>1.1233462495210682</v>
      </c>
      <c r="V49" s="4">
        <v>24.61621476406286</v>
      </c>
      <c r="W49" s="4">
        <v>12224192999.637461</v>
      </c>
      <c r="Z49" s="4">
        <v>0.48349746363078983</v>
      </c>
      <c r="AA49" s="4">
        <v>0.74289300772554512</v>
      </c>
    </row>
    <row r="50" spans="1:27" x14ac:dyDescent="0.25">
      <c r="A50" s="4" t="s">
        <v>130</v>
      </c>
      <c r="B50" s="4" t="s">
        <v>19</v>
      </c>
      <c r="C50" s="4" t="s">
        <v>20</v>
      </c>
      <c r="D50" s="4" t="s">
        <v>6</v>
      </c>
      <c r="F50" s="4">
        <v>80</v>
      </c>
      <c r="H50" s="5" t="s">
        <v>277</v>
      </c>
      <c r="J50" s="4">
        <f>LN(0.2)</f>
        <v>-1.6094379124341003</v>
      </c>
      <c r="K50" s="4">
        <f>-LN(20*0.9)</f>
        <v>-2.8903717578961645</v>
      </c>
      <c r="L50" s="4">
        <f>LN(9)</f>
        <v>2.1972245773362196</v>
      </c>
      <c r="O50" s="4">
        <v>1</v>
      </c>
      <c r="P50" s="4">
        <v>7</v>
      </c>
      <c r="Q50" s="4">
        <v>0.68390000000000006</v>
      </c>
      <c r="R50" s="4">
        <v>-2.5478584886758751</v>
      </c>
      <c r="S50" s="4">
        <v>2.1225044316164472</v>
      </c>
      <c r="T50" s="4">
        <v>-0.62203102376830055</v>
      </c>
      <c r="U50" s="4">
        <v>2.302649965643389</v>
      </c>
      <c r="V50" s="4">
        <v>2.8900414544322888</v>
      </c>
      <c r="W50" s="4">
        <v>6.4752272868443264</v>
      </c>
      <c r="Z50" s="4">
        <v>0.23682660168607386</v>
      </c>
      <c r="AA50" s="4">
        <v>0.96914462830050163</v>
      </c>
    </row>
    <row r="51" spans="1:27" x14ac:dyDescent="0.25">
      <c r="A51" s="4" t="s">
        <v>131</v>
      </c>
      <c r="B51" s="4" t="s">
        <v>19</v>
      </c>
      <c r="D51" s="4" t="s">
        <v>6</v>
      </c>
      <c r="F51" s="4">
        <v>40</v>
      </c>
      <c r="H51" s="5" t="s">
        <v>277</v>
      </c>
      <c r="J51" s="4">
        <f>LN(0.2)</f>
        <v>-1.6094379124341003</v>
      </c>
      <c r="K51" s="4">
        <f>LN(20*0.9)</f>
        <v>2.8903717578961645</v>
      </c>
      <c r="L51" s="4">
        <f>LN(9)</f>
        <v>2.1972245773362196</v>
      </c>
      <c r="O51" s="4">
        <v>2</v>
      </c>
      <c r="P51" s="4">
        <v>6</v>
      </c>
      <c r="Q51" s="4">
        <v>0.71110000000000007</v>
      </c>
      <c r="R51" s="4">
        <v>-2.2477773902567209</v>
      </c>
      <c r="S51" s="4">
        <v>0.26025366611360201</v>
      </c>
      <c r="T51" s="4">
        <v>2.237132127357353</v>
      </c>
      <c r="U51" s="4">
        <v>0.26025366611360207</v>
      </c>
      <c r="V51" s="4">
        <v>64.418242523441663</v>
      </c>
      <c r="Z51" s="4">
        <v>0.26025366611360207</v>
      </c>
      <c r="AA51" s="4">
        <v>0.91482530387727867</v>
      </c>
    </row>
    <row r="52" spans="1:27" x14ac:dyDescent="0.25">
      <c r="A52" s="4" t="s">
        <v>133</v>
      </c>
      <c r="B52" s="4" t="s">
        <v>19</v>
      </c>
      <c r="D52" s="4" t="s">
        <v>6</v>
      </c>
      <c r="F52" s="4">
        <v>80</v>
      </c>
      <c r="H52" s="5" t="s">
        <v>277</v>
      </c>
      <c r="J52" s="4">
        <f>LN(0.2)</f>
        <v>-1.6094379124341003</v>
      </c>
      <c r="K52" s="4">
        <f>-LN(20*0.9)</f>
        <v>-2.8903717578961645</v>
      </c>
      <c r="L52" s="4">
        <f>LN(9)</f>
        <v>2.1972245773362196</v>
      </c>
      <c r="O52" s="4">
        <v>2</v>
      </c>
      <c r="P52" s="4">
        <v>7</v>
      </c>
      <c r="Q52" s="4">
        <v>0.68280000000000007</v>
      </c>
      <c r="R52" s="4">
        <v>-3.0594852603718201</v>
      </c>
      <c r="S52" s="4">
        <v>2.2916398021371771</v>
      </c>
      <c r="T52" s="4">
        <v>-0.20322576478457732</v>
      </c>
      <c r="U52" s="4">
        <v>2.5679883645927193</v>
      </c>
      <c r="V52" s="4">
        <v>23.240831763486511</v>
      </c>
      <c r="W52" s="4">
        <v>5463438071.464036</v>
      </c>
      <c r="Z52" s="4">
        <v>0.51019105088662264</v>
      </c>
      <c r="AA52" s="4">
        <v>0.85367471188318955</v>
      </c>
    </row>
    <row r="53" spans="1:27" x14ac:dyDescent="0.25">
      <c r="A53" s="4" t="s">
        <v>141</v>
      </c>
      <c r="B53" s="4" t="s">
        <v>4</v>
      </c>
      <c r="C53" s="4" t="s">
        <v>11</v>
      </c>
      <c r="D53" s="4" t="s">
        <v>6</v>
      </c>
      <c r="F53" s="4">
        <v>40</v>
      </c>
      <c r="H53" s="5" t="s">
        <v>277</v>
      </c>
      <c r="J53" s="4">
        <f>LN(0.2)</f>
        <v>-1.6094379124341003</v>
      </c>
      <c r="K53" s="4">
        <f>-LN(20*0.9)</f>
        <v>-2.8903717578961645</v>
      </c>
      <c r="L53" s="4">
        <f>LN(9)</f>
        <v>2.1972245773362196</v>
      </c>
      <c r="O53" s="4">
        <v>1</v>
      </c>
      <c r="P53" s="4">
        <v>6</v>
      </c>
      <c r="Q53" s="4">
        <v>0.5069999999999999</v>
      </c>
      <c r="R53" s="4">
        <v>-2.3332594161321962</v>
      </c>
      <c r="S53" s="4">
        <v>0.89371761025910024</v>
      </c>
      <c r="T53" s="4">
        <v>-0.25631292300005087</v>
      </c>
      <c r="U53" s="4">
        <v>1.1094635170799099</v>
      </c>
      <c r="V53" s="4">
        <v>2.1920303484129029</v>
      </c>
      <c r="W53" s="4">
        <v>1.7014136075916375</v>
      </c>
      <c r="Z53" s="4">
        <v>9.1898300089335944E-2</v>
      </c>
      <c r="AA53" s="4">
        <v>0.98577936237237584</v>
      </c>
    </row>
    <row r="54" spans="1:27" x14ac:dyDescent="0.25">
      <c r="A54" s="4" t="s">
        <v>143</v>
      </c>
      <c r="B54" s="4" t="s">
        <v>24</v>
      </c>
      <c r="C54" s="4" t="s">
        <v>25</v>
      </c>
      <c r="D54" s="4" t="s">
        <v>6</v>
      </c>
      <c r="F54" s="4">
        <v>25</v>
      </c>
      <c r="H54" s="5" t="s">
        <v>277</v>
      </c>
      <c r="J54" s="4">
        <f>LN(0.2)</f>
        <v>-1.6094379124341003</v>
      </c>
      <c r="K54" s="4">
        <f>-LN(20*0.9)</f>
        <v>-2.8903717578961645</v>
      </c>
      <c r="L54" s="4">
        <f>LN(9)</f>
        <v>2.1972245773362196</v>
      </c>
      <c r="O54" s="4">
        <v>2</v>
      </c>
      <c r="P54" s="4">
        <v>8</v>
      </c>
      <c r="Q54" s="4">
        <v>0.61799999999999988</v>
      </c>
      <c r="R54" s="4">
        <v>-2.3564775275521099</v>
      </c>
      <c r="S54" s="4">
        <v>0.66210618710329783</v>
      </c>
      <c r="T54" s="4">
        <v>-0.28592404132957566</v>
      </c>
      <c r="U54" s="4">
        <v>1.098334169793149</v>
      </c>
      <c r="V54" s="4">
        <v>25.657562512374803</v>
      </c>
      <c r="W54" s="4">
        <v>5899200597.3259287</v>
      </c>
      <c r="Z54" s="4">
        <v>0.33061117168455117</v>
      </c>
      <c r="AA54" s="4">
        <v>0.94767407110556867</v>
      </c>
    </row>
    <row r="55" spans="1:27" x14ac:dyDescent="0.25">
      <c r="A55" s="4" t="s">
        <v>144</v>
      </c>
      <c r="B55" s="4" t="s">
        <v>24</v>
      </c>
      <c r="C55" s="4" t="s">
        <v>25</v>
      </c>
      <c r="D55" s="4" t="s">
        <v>6</v>
      </c>
      <c r="F55" s="4">
        <v>30</v>
      </c>
      <c r="H55" s="5" t="s">
        <v>277</v>
      </c>
      <c r="J55" s="4">
        <f>LN(0.2)</f>
        <v>-1.6094379124341003</v>
      </c>
      <c r="K55" s="4">
        <f>-LN(20*0.9)</f>
        <v>-2.8903717578961645</v>
      </c>
      <c r="L55" s="4">
        <f>LN(9)</f>
        <v>2.1972245773362196</v>
      </c>
      <c r="O55" s="4">
        <v>2</v>
      </c>
      <c r="P55" s="4">
        <v>10</v>
      </c>
      <c r="Q55" s="4">
        <v>0.71899999999999997</v>
      </c>
      <c r="R55" s="4">
        <v>-2.1419075123335132</v>
      </c>
      <c r="S55" s="4">
        <v>0.17512632196701847</v>
      </c>
      <c r="T55" s="4">
        <v>-0.11771674177596761</v>
      </c>
      <c r="U55" s="4">
        <v>0.17512632196701847</v>
      </c>
      <c r="V55" s="4">
        <v>76.858969818278098</v>
      </c>
      <c r="Z55" s="4">
        <v>0.17512632196701847</v>
      </c>
      <c r="AA55" s="4">
        <v>0.98884433268083338</v>
      </c>
    </row>
    <row r="56" spans="1:27" x14ac:dyDescent="0.25">
      <c r="A56" s="4" t="s">
        <v>145</v>
      </c>
      <c r="B56" s="4" t="s">
        <v>24</v>
      </c>
      <c r="C56" s="4" t="s">
        <v>25</v>
      </c>
      <c r="D56" s="4" t="s">
        <v>6</v>
      </c>
      <c r="F56" s="4">
        <v>35</v>
      </c>
      <c r="H56" s="5" t="s">
        <v>277</v>
      </c>
      <c r="J56" s="4">
        <f>LN(0.2)</f>
        <v>-1.6094379124341003</v>
      </c>
      <c r="K56" s="4">
        <f>-LN(20*0.9)</f>
        <v>-2.8903717578961645</v>
      </c>
      <c r="L56" s="4">
        <f>LN(9)</f>
        <v>2.1972245773362196</v>
      </c>
      <c r="O56" s="4">
        <v>2</v>
      </c>
      <c r="P56" s="4">
        <v>8</v>
      </c>
      <c r="Q56" s="4">
        <v>0.71500000000000008</v>
      </c>
      <c r="R56" s="4">
        <v>-1.969694168118316</v>
      </c>
      <c r="S56" s="4">
        <v>0.1882331827542825</v>
      </c>
      <c r="T56" s="4">
        <v>-0.31552003718632654</v>
      </c>
      <c r="U56" s="4">
        <v>0.25357673993328944</v>
      </c>
      <c r="V56" s="4">
        <v>23.116257490831597</v>
      </c>
      <c r="W56" s="4">
        <v>189065909.43691707</v>
      </c>
      <c r="Z56" s="4">
        <v>8.0043626737096918E-2</v>
      </c>
      <c r="AA56" s="4">
        <v>0.99699648486599624</v>
      </c>
    </row>
    <row r="57" spans="1:27" x14ac:dyDescent="0.25">
      <c r="A57" s="4" t="s">
        <v>146</v>
      </c>
      <c r="B57" s="4" t="s">
        <v>24</v>
      </c>
      <c r="C57" s="4" t="s">
        <v>25</v>
      </c>
      <c r="D57" s="4" t="s">
        <v>6</v>
      </c>
      <c r="F57" s="4">
        <v>40</v>
      </c>
      <c r="H57" s="5" t="s">
        <v>277</v>
      </c>
      <c r="J57" s="4">
        <f>LN(0.2)</f>
        <v>-1.6094379124341003</v>
      </c>
      <c r="K57" s="4">
        <f>LN(20*0.9)</f>
        <v>2.8903717578961645</v>
      </c>
      <c r="L57" s="4">
        <f>LN(9)</f>
        <v>2.1972245773362196</v>
      </c>
      <c r="O57" s="4">
        <v>2</v>
      </c>
      <c r="P57" s="4">
        <v>11</v>
      </c>
      <c r="Q57" s="4">
        <v>0.82399999999999995</v>
      </c>
      <c r="R57" s="4">
        <v>-2.0550326096139506</v>
      </c>
      <c r="S57" s="4">
        <v>0.29368351554871724</v>
      </c>
      <c r="T57" s="4">
        <v>0.28261096786788142</v>
      </c>
      <c r="U57" s="4">
        <v>0.29368351554871724</v>
      </c>
      <c r="V57" s="4">
        <v>30.163669689597572</v>
      </c>
      <c r="Z57" s="4">
        <v>0.29368351554871724</v>
      </c>
      <c r="AA57" s="4">
        <v>0.97089471009261208</v>
      </c>
    </row>
    <row r="58" spans="1:27" x14ac:dyDescent="0.25">
      <c r="A58" s="4" t="s">
        <v>147</v>
      </c>
      <c r="B58" s="4" t="s">
        <v>26</v>
      </c>
      <c r="D58" s="4" t="s">
        <v>27</v>
      </c>
      <c r="E58" s="4" t="s">
        <v>53</v>
      </c>
      <c r="F58" s="4">
        <v>30</v>
      </c>
      <c r="H58" s="5" t="s">
        <v>277</v>
      </c>
      <c r="J58" s="4">
        <f>LN(0.2)</f>
        <v>-1.6094379124341003</v>
      </c>
      <c r="K58" s="4">
        <f>LN(20*0.9)</f>
        <v>2.8903717578961645</v>
      </c>
      <c r="L58" s="4">
        <f>LN(9)</f>
        <v>2.1972245773362196</v>
      </c>
      <c r="O58" s="4">
        <v>0</v>
      </c>
      <c r="P58" s="4">
        <v>7</v>
      </c>
      <c r="Q58" s="4">
        <v>0.72699999999999998</v>
      </c>
      <c r="R58" s="4">
        <v>-2.8698833347016524</v>
      </c>
      <c r="S58" s="4">
        <v>4.6109527162514999E-2</v>
      </c>
      <c r="T58" s="4">
        <v>2.5702788486095209</v>
      </c>
      <c r="U58" s="4">
        <v>0.17843326641794646</v>
      </c>
      <c r="V58" s="4">
        <v>2.3323167438451096</v>
      </c>
      <c r="W58" s="4">
        <v>0.2195070542434025</v>
      </c>
      <c r="Z58" s="4">
        <v>3.8070682525155719E-2</v>
      </c>
      <c r="AA58" s="4">
        <v>0.99633711283683635</v>
      </c>
    </row>
    <row r="59" spans="1:27" x14ac:dyDescent="0.25">
      <c r="A59" s="4" t="s">
        <v>148</v>
      </c>
      <c r="B59" s="4" t="s">
        <v>26</v>
      </c>
      <c r="D59" s="4" t="s">
        <v>27</v>
      </c>
      <c r="E59" s="4" t="s">
        <v>53</v>
      </c>
      <c r="F59" s="4">
        <v>45</v>
      </c>
      <c r="H59" s="5" t="s">
        <v>277</v>
      </c>
      <c r="J59" s="4">
        <f>LN(0.2)</f>
        <v>-1.6094379124341003</v>
      </c>
      <c r="K59" s="4">
        <f>LN(20*0.9)</f>
        <v>2.8903717578961645</v>
      </c>
      <c r="L59" s="4">
        <f>LN(9)</f>
        <v>2.1972245773362196</v>
      </c>
      <c r="O59" s="4">
        <v>0</v>
      </c>
      <c r="P59" s="4">
        <v>7</v>
      </c>
      <c r="Q59" s="4">
        <v>0.68900000000000006</v>
      </c>
      <c r="R59" s="4">
        <v>-3.0859478689687845</v>
      </c>
      <c r="S59" s="4">
        <v>4.4262196470164314E-2</v>
      </c>
      <c r="T59" s="4">
        <v>2.4951773078579262</v>
      </c>
      <c r="U59" s="4">
        <v>0.14456993832293327</v>
      </c>
      <c r="V59" s="4">
        <v>2.0357926344063788</v>
      </c>
      <c r="W59" s="4">
        <v>0.20538991429376072</v>
      </c>
      <c r="Z59" s="4">
        <v>3.1772130717070822E-2</v>
      </c>
      <c r="AA59" s="4">
        <v>0.99697000541311964</v>
      </c>
    </row>
    <row r="60" spans="1:27" x14ac:dyDescent="0.25">
      <c r="A60" s="4" t="s">
        <v>149</v>
      </c>
      <c r="B60" s="4" t="s">
        <v>26</v>
      </c>
      <c r="D60" s="4" t="s">
        <v>27</v>
      </c>
      <c r="E60" s="4" t="s">
        <v>53</v>
      </c>
      <c r="F60" s="4">
        <v>60</v>
      </c>
      <c r="H60" s="5" t="s">
        <v>277</v>
      </c>
      <c r="J60" s="4">
        <f>LN(0.2)</f>
        <v>-1.6094379124341003</v>
      </c>
      <c r="K60" s="4">
        <f>LN(20*0.9)</f>
        <v>2.8903717578961645</v>
      </c>
      <c r="L60" s="4">
        <f>LN(9)</f>
        <v>2.1972245773362196</v>
      </c>
      <c r="O60" s="4">
        <v>0</v>
      </c>
      <c r="P60" s="4">
        <v>7</v>
      </c>
      <c r="Q60" s="4">
        <v>0.65500000000000003</v>
      </c>
      <c r="R60" s="4">
        <v>-3.3275922603972976</v>
      </c>
      <c r="S60" s="4">
        <v>4.9963981656048539E-2</v>
      </c>
      <c r="T60" s="4">
        <v>1.58146896948322</v>
      </c>
      <c r="U60" s="4">
        <v>8.6156096719574013E-2</v>
      </c>
      <c r="V60" s="4">
        <v>1.1636099300415448</v>
      </c>
      <c r="W60" s="4">
        <v>0.14460355801639721</v>
      </c>
      <c r="Z60" s="4">
        <v>2.0009503368178309E-2</v>
      </c>
      <c r="AA60" s="4">
        <v>0.9989923016436616</v>
      </c>
    </row>
    <row r="61" spans="1:27" x14ac:dyDescent="0.25">
      <c r="A61" s="4" t="s">
        <v>150</v>
      </c>
      <c r="B61" s="4" t="s">
        <v>26</v>
      </c>
      <c r="D61" s="4" t="s">
        <v>27</v>
      </c>
      <c r="E61" s="4" t="s">
        <v>54</v>
      </c>
      <c r="F61" s="4">
        <v>30</v>
      </c>
      <c r="H61" s="5" t="s">
        <v>277</v>
      </c>
      <c r="J61" s="4">
        <f>LN(0.2)</f>
        <v>-1.6094379124341003</v>
      </c>
      <c r="K61" s="4">
        <f>LN(20*0.9)</f>
        <v>2.8903717578961645</v>
      </c>
      <c r="L61" s="4">
        <f>LN(9)</f>
        <v>2.1972245773362196</v>
      </c>
      <c r="O61" s="4">
        <v>0</v>
      </c>
      <c r="P61" s="4">
        <v>7</v>
      </c>
      <c r="Q61" s="4">
        <v>0.72699999999999998</v>
      </c>
      <c r="R61" s="4">
        <v>-2.573337788176036</v>
      </c>
      <c r="S61" s="4">
        <v>7.8441345896736125E-2</v>
      </c>
      <c r="T61" s="4">
        <v>2.0702428995387043</v>
      </c>
      <c r="U61" s="4">
        <v>0.21108226628016191</v>
      </c>
      <c r="V61" s="4">
        <v>1.8212438769816661</v>
      </c>
      <c r="W61" s="4">
        <v>0.26565154454966861</v>
      </c>
      <c r="Z61" s="4">
        <v>5.2597982614086922E-2</v>
      </c>
      <c r="AA61" s="4">
        <v>0.99324532856886871</v>
      </c>
    </row>
    <row r="62" spans="1:27" x14ac:dyDescent="0.25">
      <c r="A62" s="4" t="s">
        <v>151</v>
      </c>
      <c r="B62" s="4" t="s">
        <v>26</v>
      </c>
      <c r="D62" s="4" t="s">
        <v>27</v>
      </c>
      <c r="E62" s="4" t="s">
        <v>54</v>
      </c>
      <c r="F62" s="4">
        <v>45</v>
      </c>
      <c r="H62" s="5" t="s">
        <v>277</v>
      </c>
      <c r="J62" s="4">
        <f>LN(0.2)</f>
        <v>-1.6094379124341003</v>
      </c>
      <c r="K62" s="4">
        <f>LN(20*0.9)</f>
        <v>2.8903717578961645</v>
      </c>
      <c r="L62" s="4">
        <f>LN(9)</f>
        <v>2.1972245773362196</v>
      </c>
      <c r="O62" s="4">
        <v>0</v>
      </c>
      <c r="P62" s="4">
        <v>7</v>
      </c>
      <c r="Q62" s="4">
        <v>0.68900000000000006</v>
      </c>
      <c r="R62" s="4">
        <v>-2.9020976209355238</v>
      </c>
      <c r="S62" s="4">
        <v>5.2491044491216478E-2</v>
      </c>
      <c r="T62" s="4">
        <v>1.9948767187283025</v>
      </c>
      <c r="U62" s="4">
        <v>0.12415406295233668</v>
      </c>
      <c r="V62" s="4">
        <v>1.8161034368754028</v>
      </c>
      <c r="W62" s="4">
        <v>0.20023430779184664</v>
      </c>
      <c r="Z62" s="4">
        <v>3.1373208178428931E-2</v>
      </c>
      <c r="AA62" s="4">
        <v>0.99753108687402769</v>
      </c>
    </row>
    <row r="63" spans="1:27" x14ac:dyDescent="0.25">
      <c r="A63" s="4" t="s">
        <v>152</v>
      </c>
      <c r="B63" s="4" t="s">
        <v>26</v>
      </c>
      <c r="D63" s="4" t="s">
        <v>27</v>
      </c>
      <c r="E63" s="4" t="s">
        <v>54</v>
      </c>
      <c r="F63" s="4">
        <v>60</v>
      </c>
      <c r="H63" s="5" t="s">
        <v>277</v>
      </c>
      <c r="J63" s="4">
        <f>LN(0.2)</f>
        <v>-1.6094379124341003</v>
      </c>
      <c r="K63" s="4">
        <f>LN(20*0.9)</f>
        <v>2.8903717578961645</v>
      </c>
      <c r="L63" s="4">
        <f>LN(9)</f>
        <v>2.1972245773362196</v>
      </c>
      <c r="O63" s="4">
        <v>0</v>
      </c>
      <c r="P63" s="4">
        <v>7</v>
      </c>
      <c r="Q63" s="4">
        <v>0.65500000000000003</v>
      </c>
      <c r="R63" s="4">
        <v>-2.9518847641845567</v>
      </c>
      <c r="S63" s="4">
        <v>0.12935505312922452</v>
      </c>
      <c r="T63" s="4">
        <v>0.9159925797233851</v>
      </c>
      <c r="U63" s="4">
        <v>0.16915309706958548</v>
      </c>
      <c r="V63" s="4">
        <v>0.69055152153047861</v>
      </c>
      <c r="W63" s="4">
        <v>0.26608372151914711</v>
      </c>
      <c r="Z63" s="4">
        <v>2.8547731345786042E-2</v>
      </c>
      <c r="AA63" s="4">
        <v>0.99841333099345075</v>
      </c>
    </row>
    <row r="64" spans="1:27" x14ac:dyDescent="0.25">
      <c r="A64" s="4" t="s">
        <v>154</v>
      </c>
      <c r="B64" s="4" t="s">
        <v>28</v>
      </c>
      <c r="D64" s="4" t="s">
        <v>29</v>
      </c>
      <c r="F64" s="4">
        <v>5</v>
      </c>
      <c r="H64" s="5" t="s">
        <v>277</v>
      </c>
      <c r="J64" s="4">
        <f>LN(0.2)</f>
        <v>-1.6094379124341003</v>
      </c>
      <c r="K64" s="4">
        <f>LN(20*0.9)</f>
        <v>2.8903717578961645</v>
      </c>
      <c r="L64" s="4">
        <f>LN(9)</f>
        <v>2.1972245773362196</v>
      </c>
      <c r="O64" s="4">
        <v>0</v>
      </c>
      <c r="P64" s="4">
        <v>9</v>
      </c>
      <c r="Q64" s="4">
        <v>0.57950000000000013</v>
      </c>
      <c r="R64" s="4">
        <v>-2.6639332625064989</v>
      </c>
      <c r="S64" s="4">
        <v>8.8757056294994308E-2</v>
      </c>
      <c r="T64" s="4">
        <v>1.5281068218375091</v>
      </c>
      <c r="U64" s="4">
        <v>0.30065861529046223</v>
      </c>
      <c r="V64" s="4">
        <v>1.3089703705866724</v>
      </c>
      <c r="W64" s="4">
        <v>0.14013920661267223</v>
      </c>
      <c r="Z64" s="4">
        <v>3.1172456727971462E-2</v>
      </c>
      <c r="AA64" s="4">
        <v>0.99544419591298339</v>
      </c>
    </row>
    <row r="65" spans="1:27" x14ac:dyDescent="0.25">
      <c r="A65" s="4" t="s">
        <v>156</v>
      </c>
      <c r="B65" s="4" t="s">
        <v>28</v>
      </c>
      <c r="D65" s="4" t="s">
        <v>29</v>
      </c>
      <c r="F65" s="4">
        <v>15</v>
      </c>
      <c r="H65" s="5" t="s">
        <v>277</v>
      </c>
      <c r="J65" s="4">
        <f>LN(0.2)</f>
        <v>-1.6094379124341003</v>
      </c>
      <c r="K65" s="4">
        <f>LN(20*0.9)</f>
        <v>2.8903717578961645</v>
      </c>
      <c r="L65" s="4">
        <f>LN(9)</f>
        <v>2.1972245773362196</v>
      </c>
      <c r="O65" s="4">
        <v>0</v>
      </c>
      <c r="P65" s="4">
        <v>9</v>
      </c>
      <c r="Q65" s="4">
        <v>0.60970000000000013</v>
      </c>
      <c r="R65" s="4">
        <v>-2.5539747673496662</v>
      </c>
      <c r="S65" s="4">
        <v>0.14923128246784739</v>
      </c>
      <c r="T65" s="4">
        <v>0.82921586133358038</v>
      </c>
      <c r="U65" s="4">
        <v>0.29713365677946424</v>
      </c>
      <c r="V65" s="4">
        <v>1.217359156934102</v>
      </c>
      <c r="W65" s="4">
        <v>0.21227643589899853</v>
      </c>
      <c r="Z65" s="4">
        <v>4.0855446121264301E-2</v>
      </c>
      <c r="AA65" s="4">
        <v>0.99400342305669542</v>
      </c>
    </row>
    <row r="66" spans="1:27" x14ac:dyDescent="0.25">
      <c r="A66" s="4" t="s">
        <v>157</v>
      </c>
      <c r="B66" s="4" t="s">
        <v>28</v>
      </c>
      <c r="D66" s="4" t="s">
        <v>29</v>
      </c>
      <c r="F66" s="4">
        <v>20</v>
      </c>
      <c r="H66" s="5" t="s">
        <v>277</v>
      </c>
      <c r="J66" s="4">
        <f>LN(0.2)</f>
        <v>-1.6094379124341003</v>
      </c>
      <c r="K66" s="4">
        <f>LN(20*0.9)</f>
        <v>2.8903717578961645</v>
      </c>
      <c r="L66" s="4">
        <f>LN(9)</f>
        <v>2.1972245773362196</v>
      </c>
      <c r="O66" s="4">
        <v>0</v>
      </c>
      <c r="P66" s="4">
        <v>9</v>
      </c>
      <c r="Q66" s="4">
        <v>0.57489999999999997</v>
      </c>
      <c r="R66" s="4">
        <v>-2.6904174025648375</v>
      </c>
      <c r="S66" s="4">
        <v>0.13796250028139276</v>
      </c>
      <c r="T66" s="4">
        <v>0.76297806592734874</v>
      </c>
      <c r="U66" s="4">
        <v>0.28142338895261826</v>
      </c>
      <c r="V66" s="4">
        <v>1.4464335193393583</v>
      </c>
      <c r="W66" s="4">
        <v>0.19980567684981909</v>
      </c>
      <c r="Z66" s="4">
        <v>3.8417163111311235E-2</v>
      </c>
      <c r="AA66" s="4">
        <v>0.99536895927679758</v>
      </c>
    </row>
    <row r="67" spans="1:27" x14ac:dyDescent="0.25">
      <c r="A67" s="4" t="s">
        <v>158</v>
      </c>
      <c r="B67" s="4" t="s">
        <v>28</v>
      </c>
      <c r="D67" s="4" t="s">
        <v>29</v>
      </c>
      <c r="F67" s="4">
        <v>25</v>
      </c>
      <c r="H67" s="5" t="s">
        <v>277</v>
      </c>
      <c r="J67" s="4">
        <f>LN(0.2)</f>
        <v>-1.6094379124341003</v>
      </c>
      <c r="K67" s="4">
        <f>LN(20*0.9)</f>
        <v>2.8903717578961645</v>
      </c>
      <c r="L67" s="4">
        <f>LN(9)</f>
        <v>2.1972245773362196</v>
      </c>
      <c r="O67" s="4">
        <v>0</v>
      </c>
      <c r="P67" s="4">
        <v>9</v>
      </c>
      <c r="Q67" s="4">
        <v>0.58860000000000001</v>
      </c>
      <c r="R67" s="4">
        <v>-2.7407405070590882</v>
      </c>
      <c r="S67" s="4">
        <v>8.380506490802607E-2</v>
      </c>
      <c r="T67" s="4">
        <v>1.5364518949956154</v>
      </c>
      <c r="U67" s="4">
        <v>0.22924734397578753</v>
      </c>
      <c r="V67" s="4">
        <v>1.3409418399129966</v>
      </c>
      <c r="W67" s="4">
        <v>0.17243748238446377</v>
      </c>
      <c r="Z67" s="4">
        <v>2.8509565725993946E-2</v>
      </c>
      <c r="AA67" s="4">
        <v>0.99600210453129556</v>
      </c>
    </row>
    <row r="68" spans="1:27" x14ac:dyDescent="0.25">
      <c r="A68" s="4" t="s">
        <v>159</v>
      </c>
      <c r="B68" s="4" t="s">
        <v>28</v>
      </c>
      <c r="D68" s="4" t="s">
        <v>29</v>
      </c>
      <c r="F68" s="4">
        <v>30</v>
      </c>
      <c r="H68" s="5" t="s">
        <v>277</v>
      </c>
      <c r="J68" s="4">
        <f>LN(0.2)</f>
        <v>-1.6094379124341003</v>
      </c>
      <c r="K68" s="4">
        <f>LN(20*0.9)</f>
        <v>2.8903717578961645</v>
      </c>
      <c r="L68" s="4">
        <f>LN(9)</f>
        <v>2.1972245773362196</v>
      </c>
      <c r="O68" s="4">
        <v>0</v>
      </c>
      <c r="P68" s="4">
        <v>9</v>
      </c>
      <c r="Q68" s="4">
        <v>0.6038</v>
      </c>
      <c r="R68" s="4">
        <v>-2.5884915658695036</v>
      </c>
      <c r="S68" s="4">
        <v>0.18993789908106723</v>
      </c>
      <c r="T68" s="4">
        <v>0.85260630425451223</v>
      </c>
      <c r="U68" s="4">
        <v>0.29143186709496494</v>
      </c>
      <c r="V68" s="4">
        <v>1.1178261345125715</v>
      </c>
      <c r="W68" s="4">
        <v>0.37489959743228568</v>
      </c>
      <c r="Z68" s="4">
        <v>4.3184806987189052E-2</v>
      </c>
      <c r="AA68" s="4">
        <v>0.99339733213422288</v>
      </c>
    </row>
    <row r="69" spans="1:27" x14ac:dyDescent="0.25">
      <c r="A69" s="4" t="s">
        <v>161</v>
      </c>
      <c r="B69" s="4" t="s">
        <v>30</v>
      </c>
      <c r="C69" s="4" t="s">
        <v>31</v>
      </c>
      <c r="D69" s="4" t="s">
        <v>32</v>
      </c>
      <c r="E69" s="4" t="s">
        <v>53</v>
      </c>
      <c r="F69" s="4">
        <v>30</v>
      </c>
      <c r="H69" s="5" t="s">
        <v>277</v>
      </c>
      <c r="J69" s="4">
        <f>LN(0.2)</f>
        <v>-1.6094379124341003</v>
      </c>
      <c r="K69" s="4">
        <f>LN(20*0.9)</f>
        <v>2.8903717578961645</v>
      </c>
      <c r="L69" s="4">
        <f>LN(9)</f>
        <v>2.1972245773362196</v>
      </c>
      <c r="O69" s="4">
        <v>0</v>
      </c>
      <c r="P69" s="4">
        <v>5</v>
      </c>
      <c r="Q69" s="4">
        <v>0.58000000000000007</v>
      </c>
      <c r="R69" s="4">
        <v>-1.7593817039147013</v>
      </c>
      <c r="S69" s="4">
        <v>9.5001705339635631E-2</v>
      </c>
      <c r="T69" s="4">
        <v>1.2137950092318956</v>
      </c>
      <c r="U69" s="4">
        <v>0.16753035258039042</v>
      </c>
      <c r="V69" s="4">
        <v>0.91146874419002422</v>
      </c>
      <c r="W69" s="4">
        <v>0.19007179117502709</v>
      </c>
      <c r="Z69" s="4">
        <v>1.7584464467823784E-2</v>
      </c>
      <c r="AA69" s="4">
        <v>0.99885814856813904</v>
      </c>
    </row>
    <row r="70" spans="1:27" x14ac:dyDescent="0.25">
      <c r="A70" s="4" t="s">
        <v>162</v>
      </c>
      <c r="B70" s="4" t="s">
        <v>30</v>
      </c>
      <c r="C70" s="4" t="s">
        <v>33</v>
      </c>
      <c r="D70" s="4" t="s">
        <v>32</v>
      </c>
      <c r="E70" s="4" t="s">
        <v>53</v>
      </c>
      <c r="F70" s="4">
        <v>30</v>
      </c>
      <c r="H70" s="5" t="s">
        <v>277</v>
      </c>
      <c r="J70" s="4">
        <f>LN(0.2)</f>
        <v>-1.6094379124341003</v>
      </c>
      <c r="K70" s="4">
        <f>LN(20*0.9)</f>
        <v>2.8903717578961645</v>
      </c>
      <c r="L70" s="4">
        <f>LN(9)</f>
        <v>2.1972245773362196</v>
      </c>
      <c r="O70" s="4">
        <v>1</v>
      </c>
      <c r="P70" s="4">
        <v>5</v>
      </c>
      <c r="Q70" s="4">
        <v>0.58000000000000007</v>
      </c>
      <c r="R70" s="4">
        <v>-1.7251193891228251</v>
      </c>
      <c r="S70" s="4">
        <v>0.87071496060586673</v>
      </c>
      <c r="T70" s="4">
        <v>0.39896503480588369</v>
      </c>
      <c r="U70" s="4">
        <v>1.0773831523098125</v>
      </c>
      <c r="V70" s="4">
        <v>0.43398831437191393</v>
      </c>
      <c r="W70" s="4">
        <v>1.2167552149375587</v>
      </c>
      <c r="Z70" s="4">
        <v>7.0901220544255336E-2</v>
      </c>
      <c r="AA70" s="4">
        <v>0.98578883618236401</v>
      </c>
    </row>
    <row r="71" spans="1:27" x14ac:dyDescent="0.25">
      <c r="A71" s="4" t="s">
        <v>163</v>
      </c>
      <c r="B71" s="4" t="s">
        <v>30</v>
      </c>
      <c r="C71" s="4" t="s">
        <v>31</v>
      </c>
      <c r="D71" s="4" t="s">
        <v>32</v>
      </c>
      <c r="E71" s="4" t="s">
        <v>53</v>
      </c>
      <c r="F71" s="4">
        <v>40</v>
      </c>
      <c r="H71" s="5" t="s">
        <v>277</v>
      </c>
      <c r="J71" s="4">
        <f>LN(0.2)</f>
        <v>-1.6094379124341003</v>
      </c>
      <c r="K71" s="4">
        <f>LN(20*0.9)</f>
        <v>2.8903717578961645</v>
      </c>
      <c r="L71" s="4">
        <f>-LN(9)</f>
        <v>-2.1972245773362196</v>
      </c>
      <c r="O71" s="4">
        <v>1</v>
      </c>
      <c r="P71" s="4">
        <v>5</v>
      </c>
      <c r="Q71" s="4">
        <v>0.60000000000000009</v>
      </c>
      <c r="R71" s="4">
        <v>-1.1773198265515892</v>
      </c>
      <c r="S71" s="4">
        <v>0.90212987334876515</v>
      </c>
      <c r="T71" s="4">
        <v>0.35855523313621918</v>
      </c>
      <c r="U71" s="4">
        <v>1.0583296174517225</v>
      </c>
      <c r="V71" s="4">
        <v>-0.36199631843587926</v>
      </c>
      <c r="W71" s="4">
        <v>1.3610534338939126</v>
      </c>
      <c r="Z71" s="4">
        <v>5.0807818432474873E-2</v>
      </c>
      <c r="AA71" s="4">
        <v>0.99007050919151718</v>
      </c>
    </row>
    <row r="72" spans="1:27" x14ac:dyDescent="0.25">
      <c r="A72" s="4" t="s">
        <v>164</v>
      </c>
      <c r="B72" s="4" t="s">
        <v>30</v>
      </c>
      <c r="C72" s="4" t="s">
        <v>33</v>
      </c>
      <c r="D72" s="4" t="s">
        <v>32</v>
      </c>
      <c r="E72" s="4" t="s">
        <v>53</v>
      </c>
      <c r="F72" s="4">
        <v>40</v>
      </c>
      <c r="H72" s="5" t="s">
        <v>277</v>
      </c>
      <c r="J72" s="4">
        <f>LN(0.2)</f>
        <v>-1.6094379124341003</v>
      </c>
      <c r="K72" s="4">
        <f>LN(20*0.9)</f>
        <v>2.8903717578961645</v>
      </c>
      <c r="L72" s="4">
        <f>LN(9)</f>
        <v>2.1972245773362196</v>
      </c>
      <c r="O72" s="4">
        <v>1</v>
      </c>
      <c r="P72" s="4">
        <v>5</v>
      </c>
      <c r="Q72" s="4">
        <v>0.60000000000000009</v>
      </c>
      <c r="R72" s="4">
        <v>-1.7844345370527852</v>
      </c>
      <c r="S72" s="4">
        <v>0.73270526145403414</v>
      </c>
      <c r="T72" s="4">
        <v>0.3626035641839418</v>
      </c>
      <c r="U72" s="4">
        <v>0.89322373584900006</v>
      </c>
      <c r="V72" s="4">
        <v>0.37945995964347068</v>
      </c>
      <c r="W72" s="4">
        <v>1.0038696633289299</v>
      </c>
      <c r="Z72" s="4">
        <v>6.1027810723876474E-2</v>
      </c>
      <c r="AA72" s="4">
        <v>0.990067645299751</v>
      </c>
    </row>
    <row r="73" spans="1:27" x14ac:dyDescent="0.25">
      <c r="A73" s="4" t="s">
        <v>165</v>
      </c>
      <c r="B73" s="4" t="s">
        <v>30</v>
      </c>
      <c r="C73" s="4" t="s">
        <v>31</v>
      </c>
      <c r="D73" s="4" t="s">
        <v>32</v>
      </c>
      <c r="E73" s="4" t="s">
        <v>53</v>
      </c>
      <c r="F73" s="4">
        <v>50</v>
      </c>
      <c r="H73" s="5" t="s">
        <v>277</v>
      </c>
      <c r="J73" s="4">
        <f>LN(0.2)</f>
        <v>-1.6094379124341003</v>
      </c>
      <c r="K73" s="4">
        <f>LN(20*0.9)</f>
        <v>2.8903717578961645</v>
      </c>
      <c r="L73" s="4">
        <f>LN(9)</f>
        <v>2.1972245773362196</v>
      </c>
      <c r="O73" s="4">
        <v>1</v>
      </c>
      <c r="P73" s="4">
        <v>5</v>
      </c>
      <c r="Q73" s="4">
        <v>0.60000000000000009</v>
      </c>
      <c r="R73" s="4">
        <v>-1.9722527745917713</v>
      </c>
      <c r="S73" s="4">
        <v>0.22894257424759951</v>
      </c>
      <c r="T73" s="4">
        <v>1.2046692510176944</v>
      </c>
      <c r="U73" s="4">
        <v>0.38857846573162563</v>
      </c>
      <c r="V73" s="4">
        <v>0.89311979905401162</v>
      </c>
      <c r="W73" s="4">
        <v>0.47012752816778769</v>
      </c>
      <c r="Z73" s="4">
        <v>4.5966082388497177E-2</v>
      </c>
      <c r="AA73" s="4">
        <v>0.99275691810565025</v>
      </c>
    </row>
    <row r="74" spans="1:27" x14ac:dyDescent="0.25">
      <c r="A74" s="4" t="s">
        <v>166</v>
      </c>
      <c r="B74" s="4" t="s">
        <v>30</v>
      </c>
      <c r="C74" s="4" t="s">
        <v>33</v>
      </c>
      <c r="D74" s="4" t="s">
        <v>32</v>
      </c>
      <c r="E74" s="4" t="s">
        <v>53</v>
      </c>
      <c r="F74" s="4">
        <v>50</v>
      </c>
      <c r="H74" s="5" t="s">
        <v>277</v>
      </c>
      <c r="J74" s="4">
        <f>LN(0.2)</f>
        <v>-1.6094379124341003</v>
      </c>
      <c r="K74" s="4">
        <f>LN(20*0.9)</f>
        <v>2.8903717578961645</v>
      </c>
      <c r="L74" s="4">
        <f>LN(9)</f>
        <v>2.1972245773362196</v>
      </c>
      <c r="O74" s="4">
        <v>1</v>
      </c>
      <c r="P74" s="4">
        <v>5</v>
      </c>
      <c r="Q74" s="4">
        <v>0.60000000000000009</v>
      </c>
      <c r="R74" s="4">
        <v>-2.2001711958715262</v>
      </c>
      <c r="S74" s="4">
        <v>0.4056173634514223</v>
      </c>
      <c r="T74" s="4">
        <v>0.74330348801345092</v>
      </c>
      <c r="U74" s="4">
        <v>0.56050839655854923</v>
      </c>
      <c r="V74" s="4">
        <v>0.73640836351804817</v>
      </c>
      <c r="W74" s="4">
        <v>0.69399120062145792</v>
      </c>
      <c r="Z74" s="4">
        <v>5.6385348525405748E-2</v>
      </c>
      <c r="AA74" s="4">
        <v>0.99121287960735771</v>
      </c>
    </row>
    <row r="75" spans="1:27" x14ac:dyDescent="0.25">
      <c r="A75" s="4" t="s">
        <v>167</v>
      </c>
      <c r="B75" s="4" t="s">
        <v>30</v>
      </c>
      <c r="C75" s="4" t="s">
        <v>31</v>
      </c>
      <c r="D75" s="4" t="s">
        <v>32</v>
      </c>
      <c r="E75" s="4" t="s">
        <v>53</v>
      </c>
      <c r="F75" s="4">
        <v>60</v>
      </c>
      <c r="H75" s="5" t="s">
        <v>277</v>
      </c>
      <c r="J75" s="4">
        <f>LN(0.2)</f>
        <v>-1.6094379124341003</v>
      </c>
      <c r="K75" s="4">
        <f>LN(20*0.9)</f>
        <v>2.8903717578961645</v>
      </c>
      <c r="L75" s="4">
        <f>LN(9)</f>
        <v>2.1972245773362196</v>
      </c>
      <c r="O75" s="4">
        <v>1</v>
      </c>
      <c r="P75" s="4">
        <v>5</v>
      </c>
      <c r="Q75" s="4">
        <v>0.6100000000000001</v>
      </c>
      <c r="R75" s="4">
        <v>-1.7859234639819934</v>
      </c>
      <c r="S75" s="4">
        <v>0.32624392890270082</v>
      </c>
      <c r="T75" s="4">
        <v>0.69289361672151406</v>
      </c>
      <c r="U75" s="4">
        <v>0.43614832223912559</v>
      </c>
      <c r="V75" s="4">
        <v>0.42247828911826346</v>
      </c>
      <c r="W75" s="4">
        <v>0.52452100057894002</v>
      </c>
      <c r="Z75" s="4">
        <v>3.9966512836812497E-2</v>
      </c>
      <c r="AA75" s="4">
        <v>0.99502159023170522</v>
      </c>
    </row>
    <row r="76" spans="1:27" x14ac:dyDescent="0.25">
      <c r="A76" s="4" t="s">
        <v>168</v>
      </c>
      <c r="B76" s="4" t="s">
        <v>30</v>
      </c>
      <c r="C76" s="4" t="s">
        <v>33</v>
      </c>
      <c r="D76" s="4" t="s">
        <v>32</v>
      </c>
      <c r="E76" s="4" t="s">
        <v>53</v>
      </c>
      <c r="F76" s="4">
        <v>60</v>
      </c>
      <c r="H76" s="5" t="s">
        <v>277</v>
      </c>
      <c r="J76" s="4">
        <f>LN(0.2)</f>
        <v>-1.6094379124341003</v>
      </c>
      <c r="K76" s="4">
        <f>LN(20*0.9)</f>
        <v>2.8903717578961645</v>
      </c>
      <c r="L76" s="4">
        <f>LN(9)</f>
        <v>2.1972245773362196</v>
      </c>
      <c r="O76" s="4">
        <v>0</v>
      </c>
      <c r="P76" s="4">
        <v>5</v>
      </c>
      <c r="Q76" s="4">
        <v>0.6100000000000001</v>
      </c>
      <c r="R76" s="4">
        <v>-2.6925390210231153</v>
      </c>
      <c r="S76" s="4">
        <v>0.22423549097252743</v>
      </c>
      <c r="T76" s="4">
        <v>1.3306458746045491</v>
      </c>
      <c r="U76" s="4">
        <v>0.42407345251182466</v>
      </c>
      <c r="V76" s="4">
        <v>1.1818401274439367</v>
      </c>
      <c r="W76" s="4">
        <v>0.5037334006550046</v>
      </c>
      <c r="Z76" s="4">
        <v>5.7733647684660855E-2</v>
      </c>
      <c r="AA76" s="4">
        <v>0.98946011392755406</v>
      </c>
    </row>
    <row r="77" spans="1:27" x14ac:dyDescent="0.25">
      <c r="A77" s="4" t="s">
        <v>169</v>
      </c>
      <c r="B77" s="4" t="s">
        <v>30</v>
      </c>
      <c r="C77" s="4" t="s">
        <v>31</v>
      </c>
      <c r="D77" s="4" t="s">
        <v>32</v>
      </c>
      <c r="E77" s="4" t="s">
        <v>53</v>
      </c>
      <c r="F77" s="4">
        <v>70</v>
      </c>
      <c r="H77" s="5" t="s">
        <v>277</v>
      </c>
      <c r="J77" s="4">
        <f>LN(0.2)</f>
        <v>-1.6094379124341003</v>
      </c>
      <c r="K77" s="4">
        <f>LN(20*0.9)</f>
        <v>2.8903717578961645</v>
      </c>
      <c r="L77" s="4">
        <f>-LN(9)</f>
        <v>-2.1972245773362196</v>
      </c>
      <c r="O77" s="4">
        <v>2</v>
      </c>
      <c r="P77" s="4">
        <v>5</v>
      </c>
      <c r="Q77" s="4">
        <v>0.6100000000000001</v>
      </c>
      <c r="R77" s="4">
        <v>-1.437062641610565</v>
      </c>
      <c r="S77" s="4">
        <v>1.1679032362427864</v>
      </c>
      <c r="T77" s="4">
        <v>1.5685005326731085E-2</v>
      </c>
      <c r="U77" s="4">
        <v>1.2896216869873978</v>
      </c>
      <c r="V77" s="4">
        <v>-7.9529893476555799E-2</v>
      </c>
      <c r="W77" s="4">
        <v>1.3840663945361404</v>
      </c>
      <c r="Z77" s="4">
        <v>5.3259280452813924E-2</v>
      </c>
      <c r="AA77" s="4">
        <v>0.99303286793206336</v>
      </c>
    </row>
    <row r="78" spans="1:27" x14ac:dyDescent="0.25">
      <c r="A78" s="4" t="s">
        <v>170</v>
      </c>
      <c r="B78" s="4" t="s">
        <v>30</v>
      </c>
      <c r="C78" s="4" t="s">
        <v>33</v>
      </c>
      <c r="D78" s="4" t="s">
        <v>32</v>
      </c>
      <c r="E78" s="4" t="s">
        <v>53</v>
      </c>
      <c r="F78" s="4">
        <v>70</v>
      </c>
      <c r="H78" s="5" t="s">
        <v>277</v>
      </c>
      <c r="J78" s="4">
        <f>LN(0.2)</f>
        <v>-1.6094379124341003</v>
      </c>
      <c r="K78" s="4">
        <f>LN(20*0.9)</f>
        <v>2.8903717578961645</v>
      </c>
      <c r="L78" s="4">
        <f>LN(9)</f>
        <v>2.1972245773362196</v>
      </c>
      <c r="O78" s="4">
        <v>1</v>
      </c>
      <c r="P78" s="4">
        <v>5</v>
      </c>
      <c r="Q78" s="4">
        <v>0.6100000000000001</v>
      </c>
      <c r="R78" s="4">
        <v>-2.7716112981438088</v>
      </c>
      <c r="S78" s="4">
        <v>0.4462894925338291</v>
      </c>
      <c r="T78" s="4">
        <v>0.93787778157812851</v>
      </c>
      <c r="U78" s="4">
        <v>0.67376855333789998</v>
      </c>
      <c r="V78" s="4">
        <v>1.0469983404307521</v>
      </c>
      <c r="W78" s="4">
        <v>0.87150660767741828</v>
      </c>
      <c r="Z78" s="4">
        <v>8.2857823907176734E-2</v>
      </c>
      <c r="AA78" s="4">
        <v>0.98320166862078728</v>
      </c>
    </row>
    <row r="79" spans="1:27" x14ac:dyDescent="0.25">
      <c r="A79" s="4" t="s">
        <v>171</v>
      </c>
      <c r="B79" s="4" t="s">
        <v>34</v>
      </c>
      <c r="C79" s="4" t="s">
        <v>35</v>
      </c>
      <c r="D79" s="4" t="s">
        <v>29</v>
      </c>
      <c r="F79" s="4">
        <v>10</v>
      </c>
      <c r="H79" s="5" t="s">
        <v>277</v>
      </c>
      <c r="J79" s="4">
        <f>LN(0.2)</f>
        <v>-1.6094379124341003</v>
      </c>
      <c r="K79" s="4">
        <f>LN(20*0.9)</f>
        <v>2.8903717578961645</v>
      </c>
      <c r="L79" s="4">
        <f>LN(9)</f>
        <v>2.1972245773362196</v>
      </c>
      <c r="O79" s="4">
        <v>0</v>
      </c>
      <c r="P79" s="4">
        <v>9</v>
      </c>
      <c r="Q79" s="4">
        <v>0.755</v>
      </c>
      <c r="R79" s="4">
        <v>-2.4977780818764361</v>
      </c>
      <c r="S79" s="4">
        <v>2.5524643266934471E-2</v>
      </c>
      <c r="T79" s="4">
        <v>2.3907945895801683</v>
      </c>
      <c r="U79" s="4">
        <v>7.9909828276567119E-2</v>
      </c>
      <c r="V79" s="4">
        <v>0.9547064216611284</v>
      </c>
      <c r="W79" s="4">
        <v>6.6941934786225968E-2</v>
      </c>
      <c r="Z79" s="4">
        <v>1.6823690959575956E-2</v>
      </c>
      <c r="AA79" s="4">
        <v>0.99862610546410757</v>
      </c>
    </row>
    <row r="80" spans="1:27" x14ac:dyDescent="0.25">
      <c r="A80" s="4" t="s">
        <v>172</v>
      </c>
      <c r="B80" s="4" t="s">
        <v>34</v>
      </c>
      <c r="C80" s="4" t="s">
        <v>35</v>
      </c>
      <c r="D80" s="4" t="s">
        <v>29</v>
      </c>
      <c r="F80" s="4">
        <v>20</v>
      </c>
      <c r="H80" s="5" t="s">
        <v>277</v>
      </c>
      <c r="J80" s="4">
        <f>LN(0.2)</f>
        <v>-1.6094379124341003</v>
      </c>
      <c r="K80" s="4">
        <f>LN(20*0.9)</f>
        <v>2.8903717578961645</v>
      </c>
      <c r="L80" s="4">
        <f>LN(9)</f>
        <v>2.1972245773362196</v>
      </c>
      <c r="O80" s="4">
        <v>0</v>
      </c>
      <c r="P80" s="4">
        <v>9</v>
      </c>
      <c r="Q80" s="4">
        <v>0.73799999999999999</v>
      </c>
      <c r="R80" s="4">
        <v>-2.5244931192681821</v>
      </c>
      <c r="S80" s="4">
        <v>2.0809788977760122E-2</v>
      </c>
      <c r="T80" s="4">
        <v>2.291990836630355</v>
      </c>
      <c r="U80" s="4">
        <v>6.1037898611003623E-2</v>
      </c>
      <c r="V80" s="4">
        <v>1.0137353478848541</v>
      </c>
      <c r="W80" s="4">
        <v>5.6586251828660096E-2</v>
      </c>
      <c r="Z80" s="4">
        <v>1.3355953025385397E-2</v>
      </c>
      <c r="AA80" s="4">
        <v>0.9991584736423228</v>
      </c>
    </row>
    <row r="81" spans="1:27" x14ac:dyDescent="0.25">
      <c r="A81" s="4" t="s">
        <v>173</v>
      </c>
      <c r="B81" s="4" t="s">
        <v>34</v>
      </c>
      <c r="C81" s="4" t="s">
        <v>35</v>
      </c>
      <c r="D81" s="4" t="s">
        <v>29</v>
      </c>
      <c r="F81" s="4">
        <v>30</v>
      </c>
      <c r="H81" s="5" t="s">
        <v>277</v>
      </c>
      <c r="J81" s="4">
        <f>LN(0.2)</f>
        <v>-1.6094379124341003</v>
      </c>
      <c r="K81" s="4">
        <f>LN(20*0.9)</f>
        <v>2.8903717578961645</v>
      </c>
      <c r="L81" s="4">
        <f>LN(9)</f>
        <v>2.1972245773362196</v>
      </c>
      <c r="O81" s="4">
        <v>0</v>
      </c>
      <c r="P81" s="4">
        <v>9</v>
      </c>
      <c r="Q81" s="4">
        <v>0.72299999999999998</v>
      </c>
      <c r="R81" s="4">
        <v>-2.5503342267146194</v>
      </c>
      <c r="S81" s="4">
        <v>2.0208315985782429E-2</v>
      </c>
      <c r="T81" s="4">
        <v>2.1850556676196349</v>
      </c>
      <c r="U81" s="4">
        <v>5.4870743329187587E-2</v>
      </c>
      <c r="V81" s="4">
        <v>1.0479137696048813</v>
      </c>
      <c r="W81" s="4">
        <v>5.6397355611416719E-2</v>
      </c>
      <c r="Z81" s="4">
        <v>1.2465464019901489E-2</v>
      </c>
      <c r="AA81" s="4">
        <v>0.99929563971308233</v>
      </c>
    </row>
    <row r="82" spans="1:27" x14ac:dyDescent="0.25">
      <c r="A82" s="4" t="s">
        <v>174</v>
      </c>
      <c r="B82" s="4" t="s">
        <v>36</v>
      </c>
      <c r="C82" s="4" t="s">
        <v>37</v>
      </c>
      <c r="D82" s="4" t="s">
        <v>32</v>
      </c>
      <c r="E82" s="4" t="s">
        <v>53</v>
      </c>
      <c r="F82" s="4">
        <v>20</v>
      </c>
      <c r="H82" s="5" t="s">
        <v>277</v>
      </c>
      <c r="J82" s="4">
        <f>LN(0.2)</f>
        <v>-1.6094379124341003</v>
      </c>
      <c r="K82" s="4">
        <f>LN(20*0.9)</f>
        <v>2.8903717578961645</v>
      </c>
      <c r="L82" s="4">
        <f>LN(9)</f>
        <v>2.1972245773362196</v>
      </c>
      <c r="O82" s="4">
        <v>0</v>
      </c>
      <c r="P82" s="4">
        <v>6</v>
      </c>
      <c r="Q82" s="4">
        <v>0.85199999999999998</v>
      </c>
      <c r="R82" s="4">
        <v>-2.5997920164080326</v>
      </c>
      <c r="S82" s="4">
        <v>7.1609878314558978E-2</v>
      </c>
      <c r="T82" s="4">
        <v>2.3234549938871707</v>
      </c>
      <c r="U82" s="4">
        <v>0.22725094248828837</v>
      </c>
      <c r="V82" s="4">
        <v>1.3636732346714175</v>
      </c>
      <c r="W82" s="4">
        <v>0.14659650952806394</v>
      </c>
      <c r="Z82" s="4">
        <v>5.4748814637554558E-2</v>
      </c>
      <c r="AA82" s="4">
        <v>0.99385873809191194</v>
      </c>
    </row>
    <row r="83" spans="1:27" x14ac:dyDescent="0.25">
      <c r="A83" s="4" t="s">
        <v>175</v>
      </c>
      <c r="B83" s="4" t="s">
        <v>36</v>
      </c>
      <c r="C83" s="4" t="s">
        <v>37</v>
      </c>
      <c r="D83" s="4" t="s">
        <v>32</v>
      </c>
      <c r="E83" s="4" t="s">
        <v>53</v>
      </c>
      <c r="F83" s="4">
        <v>30</v>
      </c>
      <c r="H83" s="5" t="s">
        <v>277</v>
      </c>
      <c r="J83" s="4">
        <f>LN(0.2)</f>
        <v>-1.6094379124341003</v>
      </c>
      <c r="K83" s="4">
        <f>LN(20*0.9)</f>
        <v>2.8903717578961645</v>
      </c>
      <c r="L83" s="4">
        <f>LN(9)</f>
        <v>2.1972245773362196</v>
      </c>
      <c r="O83" s="4">
        <v>0</v>
      </c>
      <c r="P83" s="4">
        <v>6</v>
      </c>
      <c r="Q83" s="4">
        <v>0.85199999999999998</v>
      </c>
      <c r="R83" s="4">
        <v>-2.6985182433230541</v>
      </c>
      <c r="S83" s="4">
        <v>7.0932081099047292E-2</v>
      </c>
      <c r="T83" s="4">
        <v>2.1402940813299045</v>
      </c>
      <c r="U83" s="4">
        <v>0.20332963709551166</v>
      </c>
      <c r="V83" s="4">
        <v>1.42194436680641</v>
      </c>
      <c r="W83" s="4">
        <v>0.14310049460928875</v>
      </c>
      <c r="Z83" s="4">
        <v>5.3199947602752082E-2</v>
      </c>
      <c r="AA83" s="4">
        <v>0.99484096948626455</v>
      </c>
    </row>
    <row r="84" spans="1:27" x14ac:dyDescent="0.25">
      <c r="A84" s="4" t="s">
        <v>176</v>
      </c>
      <c r="B84" s="4" t="s">
        <v>36</v>
      </c>
      <c r="C84" s="4" t="s">
        <v>37</v>
      </c>
      <c r="D84" s="4" t="s">
        <v>32</v>
      </c>
      <c r="E84" s="4" t="s">
        <v>53</v>
      </c>
      <c r="F84" s="4">
        <v>40</v>
      </c>
      <c r="H84" s="5" t="s">
        <v>277</v>
      </c>
      <c r="J84" s="4">
        <f>LN(0.2)</f>
        <v>-1.6094379124341003</v>
      </c>
      <c r="K84" s="4">
        <f>LN(20*0.9)</f>
        <v>2.8903717578961645</v>
      </c>
      <c r="L84" s="4">
        <f>LN(9)</f>
        <v>2.1972245773362196</v>
      </c>
      <c r="O84" s="4">
        <v>0</v>
      </c>
      <c r="P84" s="4">
        <v>6</v>
      </c>
      <c r="Q84" s="4">
        <v>0.85199999999999998</v>
      </c>
      <c r="R84" s="4">
        <v>-2.7331387552717401</v>
      </c>
      <c r="S84" s="4">
        <v>1.9498202877371501E-2</v>
      </c>
      <c r="T84" s="4">
        <v>2.0641712325481674</v>
      </c>
      <c r="U84" s="4">
        <v>5.2922380233912679E-2</v>
      </c>
      <c r="V84" s="4">
        <v>1.3520389531033574</v>
      </c>
      <c r="W84" s="4">
        <v>3.8676052443108462E-2</v>
      </c>
      <c r="Z84" s="4">
        <v>1.4013824197220753E-2</v>
      </c>
      <c r="AA84" s="4">
        <v>0.99963877639899756</v>
      </c>
    </row>
    <row r="85" spans="1:27" x14ac:dyDescent="0.25">
      <c r="A85" s="4" t="s">
        <v>177</v>
      </c>
      <c r="B85" s="4" t="s">
        <v>36</v>
      </c>
      <c r="C85" s="4" t="s">
        <v>37</v>
      </c>
      <c r="D85" s="4" t="s">
        <v>32</v>
      </c>
      <c r="E85" s="4" t="s">
        <v>53</v>
      </c>
      <c r="F85" s="4">
        <v>50</v>
      </c>
      <c r="H85" s="5" t="s">
        <v>277</v>
      </c>
      <c r="J85" s="4">
        <f>LN(0.2)</f>
        <v>-1.6094379124341003</v>
      </c>
      <c r="K85" s="4">
        <f>LN(20*0.9)</f>
        <v>2.8903717578961645</v>
      </c>
      <c r="L85" s="4">
        <f>LN(9)</f>
        <v>2.1972245773362196</v>
      </c>
      <c r="O85" s="4">
        <v>0</v>
      </c>
      <c r="P85" s="4">
        <v>6</v>
      </c>
      <c r="Q85" s="4">
        <v>0.85199999999999998</v>
      </c>
      <c r="R85" s="4">
        <v>-2.9100266498328908</v>
      </c>
      <c r="S85" s="4">
        <v>8.273004608958355E-2</v>
      </c>
      <c r="T85" s="4">
        <v>2.2276321687148792</v>
      </c>
      <c r="U85" s="4">
        <v>0.24341720612602846</v>
      </c>
      <c r="V85" s="4">
        <v>1.2526854622321992</v>
      </c>
      <c r="W85" s="4">
        <v>0.166051537031357</v>
      </c>
      <c r="Z85" s="4">
        <v>5.9659807264882798E-2</v>
      </c>
      <c r="AA85" s="4">
        <v>0.99247386354476497</v>
      </c>
    </row>
    <row r="86" spans="1:27" x14ac:dyDescent="0.25">
      <c r="A86" s="1" t="s">
        <v>178</v>
      </c>
      <c r="B86" s="1" t="s">
        <v>36</v>
      </c>
      <c r="C86" s="1" t="s">
        <v>37</v>
      </c>
      <c r="D86" s="1" t="s">
        <v>32</v>
      </c>
      <c r="E86" s="1" t="s">
        <v>54</v>
      </c>
      <c r="F86" s="1">
        <v>20</v>
      </c>
      <c r="G86" s="1"/>
      <c r="H86" s="2" t="s">
        <v>277</v>
      </c>
      <c r="I86" s="1"/>
      <c r="J86" s="1">
        <f>LN(0.2)</f>
        <v>-1.6094379124341003</v>
      </c>
      <c r="K86" s="1">
        <f>LN(20*0.9)</f>
        <v>2.8903717578961645</v>
      </c>
      <c r="L86" s="1">
        <f>LN(9)</f>
        <v>2.1972245773362196</v>
      </c>
      <c r="M86" s="1"/>
      <c r="N86" s="3"/>
      <c r="O86" s="1">
        <v>0</v>
      </c>
      <c r="P86" s="1">
        <v>6</v>
      </c>
      <c r="Q86" s="1">
        <v>0.85199999999999998</v>
      </c>
      <c r="R86" s="1">
        <v>-2.5644955583410063</v>
      </c>
      <c r="S86" s="1">
        <v>8.9481485528646862E-2</v>
      </c>
      <c r="T86" s="1">
        <v>3.3196922443485093</v>
      </c>
      <c r="U86" s="1">
        <v>0.58254229500344357</v>
      </c>
      <c r="V86" s="1">
        <v>1.4007145337858042</v>
      </c>
      <c r="W86" s="1">
        <v>0.19723285421243422</v>
      </c>
      <c r="X86" s="1"/>
      <c r="Y86" s="1"/>
      <c r="Z86" s="1">
        <v>7.9034314320516164E-2</v>
      </c>
      <c r="AA86" s="1">
        <v>0.98264157611771241</v>
      </c>
    </row>
    <row r="87" spans="1:27" x14ac:dyDescent="0.25">
      <c r="A87" s="4" t="s">
        <v>179</v>
      </c>
      <c r="B87" s="4" t="s">
        <v>36</v>
      </c>
      <c r="C87" s="4" t="s">
        <v>37</v>
      </c>
      <c r="D87" s="4" t="s">
        <v>32</v>
      </c>
      <c r="E87" s="4" t="s">
        <v>54</v>
      </c>
      <c r="F87" s="4">
        <v>30</v>
      </c>
      <c r="H87" s="5" t="s">
        <v>277</v>
      </c>
      <c r="J87" s="4">
        <f>LN(0.2)</f>
        <v>-1.6094379124341003</v>
      </c>
      <c r="K87" s="4">
        <f>LN(20*0.9)</f>
        <v>2.8903717578961645</v>
      </c>
      <c r="L87" s="4">
        <f>LN(9)</f>
        <v>2.1972245773362196</v>
      </c>
      <c r="O87" s="4">
        <v>0</v>
      </c>
      <c r="P87" s="4">
        <v>6</v>
      </c>
      <c r="Q87" s="4">
        <v>0.85199999999999998</v>
      </c>
      <c r="R87" s="4">
        <v>-2.5798174856862741</v>
      </c>
      <c r="S87" s="4">
        <v>8.839880975285333E-2</v>
      </c>
      <c r="T87" s="4">
        <v>3.060442986662375</v>
      </c>
      <c r="U87" s="4">
        <v>0.46496340531139108</v>
      </c>
      <c r="V87" s="4">
        <v>1.3295523709541548</v>
      </c>
      <c r="W87" s="4">
        <v>0.19128858877770502</v>
      </c>
      <c r="Z87" s="4">
        <v>7.4609831860021902E-2</v>
      </c>
      <c r="AA87" s="4">
        <v>0.98474882112249507</v>
      </c>
    </row>
    <row r="88" spans="1:27" x14ac:dyDescent="0.25">
      <c r="A88" s="1" t="s">
        <v>180</v>
      </c>
      <c r="B88" s="1" t="s">
        <v>36</v>
      </c>
      <c r="C88" s="1" t="s">
        <v>37</v>
      </c>
      <c r="D88" s="1" t="s">
        <v>32</v>
      </c>
      <c r="E88" s="1" t="s">
        <v>54</v>
      </c>
      <c r="F88" s="1">
        <v>40</v>
      </c>
      <c r="G88" s="1"/>
      <c r="H88" s="2" t="s">
        <v>277</v>
      </c>
      <c r="I88" s="1"/>
      <c r="J88" s="1">
        <f>LN(0.2)</f>
        <v>-1.6094379124341003</v>
      </c>
      <c r="K88" s="1">
        <f>LN(20*0.9)</f>
        <v>2.8903717578961645</v>
      </c>
      <c r="L88" s="1">
        <f>LN(9)</f>
        <v>2.1972245773362196</v>
      </c>
      <c r="M88" s="1"/>
      <c r="N88" s="3"/>
      <c r="O88" s="1">
        <v>0</v>
      </c>
      <c r="P88" s="1">
        <v>6</v>
      </c>
      <c r="Q88" s="1">
        <v>0.85199999999999998</v>
      </c>
      <c r="R88" s="1">
        <v>-2.6726458730889453</v>
      </c>
      <c r="S88" s="1">
        <v>0.10105120195038081</v>
      </c>
      <c r="T88" s="1">
        <v>3.0429268531999059</v>
      </c>
      <c r="U88" s="1">
        <v>0.53066178529111252</v>
      </c>
      <c r="V88" s="1">
        <v>1.4062315459358219</v>
      </c>
      <c r="W88" s="1">
        <v>0.21978613755453894</v>
      </c>
      <c r="X88" s="1"/>
      <c r="Y88" s="1"/>
      <c r="Z88" s="1">
        <v>8.7125880128775562E-2</v>
      </c>
      <c r="AA88" s="1">
        <v>0.9805638900616821</v>
      </c>
    </row>
    <row r="89" spans="1:27" x14ac:dyDescent="0.25">
      <c r="A89" s="4" t="s">
        <v>181</v>
      </c>
      <c r="B89" s="4" t="s">
        <v>36</v>
      </c>
      <c r="C89" s="4" t="s">
        <v>37</v>
      </c>
      <c r="D89" s="4" t="s">
        <v>32</v>
      </c>
      <c r="E89" s="4" t="s">
        <v>54</v>
      </c>
      <c r="F89" s="4">
        <v>50</v>
      </c>
      <c r="H89" s="5" t="s">
        <v>277</v>
      </c>
      <c r="J89" s="4">
        <f>LN(0.2)</f>
        <v>-1.6094379124341003</v>
      </c>
      <c r="K89" s="4">
        <f>LN(20*0.9)</f>
        <v>2.8903717578961645</v>
      </c>
      <c r="L89" s="4">
        <f>LN(9)</f>
        <v>2.1972245773362196</v>
      </c>
      <c r="O89" s="4">
        <v>0</v>
      </c>
      <c r="P89" s="4">
        <v>6</v>
      </c>
      <c r="Q89" s="4">
        <v>0.85199999999999998</v>
      </c>
      <c r="R89" s="4">
        <v>-2.8631856824739712</v>
      </c>
      <c r="S89" s="4">
        <v>4.6945644763123365E-2</v>
      </c>
      <c r="T89" s="4">
        <v>3.403217059457011</v>
      </c>
      <c r="U89" s="4">
        <v>0.33863911912030148</v>
      </c>
      <c r="V89" s="4">
        <v>1.6363315251714301</v>
      </c>
      <c r="W89" s="4">
        <v>0.10659713419554244</v>
      </c>
      <c r="Z89" s="4">
        <v>4.4616574531556888E-2</v>
      </c>
      <c r="AA89" s="4">
        <v>0.99529228775854883</v>
      </c>
    </row>
    <row r="90" spans="1:27" x14ac:dyDescent="0.25">
      <c r="A90" s="4" t="s">
        <v>182</v>
      </c>
      <c r="B90" s="4" t="s">
        <v>38</v>
      </c>
      <c r="C90" s="4" t="s">
        <v>39</v>
      </c>
      <c r="D90" s="4" t="s">
        <v>32</v>
      </c>
      <c r="E90" s="4" t="s">
        <v>53</v>
      </c>
      <c r="F90" s="4">
        <v>20</v>
      </c>
      <c r="H90" s="5" t="s">
        <v>277</v>
      </c>
      <c r="J90" s="4">
        <f>LN(0.2)</f>
        <v>-1.6094379124341003</v>
      </c>
      <c r="K90" s="4">
        <f>LN(20*0.9)</f>
        <v>2.8903717578961645</v>
      </c>
      <c r="L90" s="4">
        <f>LN(9)</f>
        <v>2.1972245773362196</v>
      </c>
      <c r="O90" s="4">
        <v>0</v>
      </c>
      <c r="P90" s="4">
        <v>6</v>
      </c>
      <c r="Q90" s="4">
        <v>0.85199999999999998</v>
      </c>
      <c r="R90" s="4">
        <v>-2.5241166200697798</v>
      </c>
      <c r="S90" s="4">
        <v>0.14729478689588577</v>
      </c>
      <c r="T90" s="4">
        <v>1.9453122804975989</v>
      </c>
      <c r="U90" s="4">
        <v>0.36735572100434516</v>
      </c>
      <c r="V90" s="4">
        <v>1.232064529243668</v>
      </c>
      <c r="W90" s="4">
        <v>0.28444209076149901</v>
      </c>
      <c r="Z90" s="4">
        <v>9.819562571884051E-2</v>
      </c>
      <c r="AA90" s="4">
        <v>0.98218950315417974</v>
      </c>
    </row>
    <row r="91" spans="1:27" x14ac:dyDescent="0.25">
      <c r="A91" s="4" t="s">
        <v>183</v>
      </c>
      <c r="B91" s="4" t="s">
        <v>38</v>
      </c>
      <c r="C91" s="4" t="s">
        <v>39</v>
      </c>
      <c r="D91" s="4" t="s">
        <v>32</v>
      </c>
      <c r="E91" s="4" t="s">
        <v>53</v>
      </c>
      <c r="F91" s="4">
        <v>30</v>
      </c>
      <c r="H91" s="5" t="s">
        <v>277</v>
      </c>
      <c r="J91" s="4">
        <f>LN(0.2)</f>
        <v>-1.6094379124341003</v>
      </c>
      <c r="K91" s="4">
        <f>LN(20*0.9)</f>
        <v>2.8903717578961645</v>
      </c>
      <c r="L91" s="4">
        <f>LN(9)</f>
        <v>2.1972245773362196</v>
      </c>
      <c r="O91" s="4">
        <v>0</v>
      </c>
      <c r="P91" s="4">
        <v>6</v>
      </c>
      <c r="Q91" s="4">
        <v>0.85199999999999998</v>
      </c>
      <c r="R91" s="4">
        <v>-2.6734213710963264</v>
      </c>
      <c r="S91" s="4">
        <v>0.1257484830609881</v>
      </c>
      <c r="T91" s="4">
        <v>1.7869072285830911</v>
      </c>
      <c r="U91" s="4">
        <v>0.28819399824743014</v>
      </c>
      <c r="V91" s="4">
        <v>1.2288492958281354</v>
      </c>
      <c r="W91" s="4">
        <v>0.236869802107809</v>
      </c>
      <c r="Z91" s="4">
        <v>7.9860478068080706E-2</v>
      </c>
      <c r="AA91" s="4">
        <v>0.98899564007079566</v>
      </c>
    </row>
    <row r="92" spans="1:27" x14ac:dyDescent="0.25">
      <c r="A92" s="4" t="s">
        <v>184</v>
      </c>
      <c r="B92" s="4" t="s">
        <v>38</v>
      </c>
      <c r="C92" s="4" t="s">
        <v>39</v>
      </c>
      <c r="D92" s="4" t="s">
        <v>32</v>
      </c>
      <c r="E92" s="4" t="s">
        <v>53</v>
      </c>
      <c r="F92" s="4">
        <v>40</v>
      </c>
      <c r="H92" s="5" t="s">
        <v>277</v>
      </c>
      <c r="J92" s="4">
        <f>LN(0.2)</f>
        <v>-1.6094379124341003</v>
      </c>
      <c r="K92" s="4">
        <f>LN(20*0.9)</f>
        <v>2.8903717578961645</v>
      </c>
      <c r="L92" s="4">
        <f>LN(9)</f>
        <v>2.1972245773362196</v>
      </c>
      <c r="O92" s="4">
        <v>0</v>
      </c>
      <c r="P92" s="4">
        <v>6</v>
      </c>
      <c r="Q92" s="4">
        <v>0.85199999999999998</v>
      </c>
      <c r="R92" s="4">
        <v>-2.7074910407995989</v>
      </c>
      <c r="S92" s="4">
        <v>9.3945859132396003E-2</v>
      </c>
      <c r="T92" s="4">
        <v>1.8179684202976487</v>
      </c>
      <c r="U92" s="4">
        <v>0.2184497679780899</v>
      </c>
      <c r="V92" s="4">
        <v>1.218195044055344</v>
      </c>
      <c r="W92" s="4">
        <v>0.17771342590151465</v>
      </c>
      <c r="Z92" s="4">
        <v>5.9998930404812911E-2</v>
      </c>
      <c r="AA92" s="4">
        <v>0.99362756175140154</v>
      </c>
    </row>
    <row r="93" spans="1:27" x14ac:dyDescent="0.25">
      <c r="A93" s="4" t="s">
        <v>185</v>
      </c>
      <c r="B93" s="4" t="s">
        <v>38</v>
      </c>
      <c r="C93" s="4" t="s">
        <v>39</v>
      </c>
      <c r="D93" s="4" t="s">
        <v>32</v>
      </c>
      <c r="E93" s="4" t="s">
        <v>53</v>
      </c>
      <c r="F93" s="4">
        <v>50</v>
      </c>
      <c r="H93" s="5" t="s">
        <v>277</v>
      </c>
      <c r="J93" s="4">
        <f>LN(0.2)</f>
        <v>-1.6094379124341003</v>
      </c>
      <c r="K93" s="4">
        <f>LN(20*0.9)</f>
        <v>2.8903717578961645</v>
      </c>
      <c r="L93" s="4">
        <f>LN(9)</f>
        <v>2.1972245773362196</v>
      </c>
      <c r="O93" s="4">
        <v>0</v>
      </c>
      <c r="P93" s="4">
        <v>6</v>
      </c>
      <c r="Q93" s="4">
        <v>0.85199999999999998</v>
      </c>
      <c r="R93" s="4">
        <v>-3.1049971736048945</v>
      </c>
      <c r="S93" s="4">
        <v>3.8044782931817109E-2</v>
      </c>
      <c r="T93" s="4">
        <v>2.2193733148579837</v>
      </c>
      <c r="U93" s="4">
        <v>0.11590589118277489</v>
      </c>
      <c r="V93" s="4">
        <v>1.514610583913315</v>
      </c>
      <c r="W93" s="4">
        <v>7.8339421778646556E-2</v>
      </c>
      <c r="Z93" s="4">
        <v>2.9956913140618564E-2</v>
      </c>
      <c r="AA93" s="4">
        <v>0.99840553169269219</v>
      </c>
    </row>
    <row r="94" spans="1:27" x14ac:dyDescent="0.25">
      <c r="A94" s="4" t="s">
        <v>186</v>
      </c>
      <c r="B94" s="4" t="s">
        <v>38</v>
      </c>
      <c r="C94" s="4" t="s">
        <v>39</v>
      </c>
      <c r="D94" s="4" t="s">
        <v>32</v>
      </c>
      <c r="E94" s="4" t="s">
        <v>54</v>
      </c>
      <c r="F94" s="4">
        <v>20</v>
      </c>
      <c r="H94" s="5" t="s">
        <v>277</v>
      </c>
      <c r="J94" s="4">
        <f>LN(0.2)</f>
        <v>-1.6094379124341003</v>
      </c>
      <c r="K94" s="4">
        <f>LN(20*0.9)</f>
        <v>2.8903717578961645</v>
      </c>
      <c r="L94" s="4">
        <f>LN(9)</f>
        <v>2.1972245773362196</v>
      </c>
      <c r="O94" s="4">
        <v>0</v>
      </c>
      <c r="P94" s="4">
        <v>6</v>
      </c>
      <c r="Q94" s="4">
        <v>0.85199999999999998</v>
      </c>
      <c r="R94" s="4">
        <v>-2.3182131079263804</v>
      </c>
      <c r="S94" s="4">
        <v>7.1104160305038897E-2</v>
      </c>
      <c r="T94" s="4">
        <v>2.0330913879858667</v>
      </c>
      <c r="U94" s="4">
        <v>0.17641179023521414</v>
      </c>
      <c r="V94" s="4">
        <v>0.87683106969568791</v>
      </c>
      <c r="W94" s="4">
        <v>0.13783727829156059</v>
      </c>
      <c r="Z94" s="4">
        <v>4.2515900163422549E-2</v>
      </c>
      <c r="AA94" s="4">
        <v>0.99553129036384624</v>
      </c>
    </row>
    <row r="95" spans="1:27" x14ac:dyDescent="0.25">
      <c r="A95" s="4" t="s">
        <v>187</v>
      </c>
      <c r="B95" s="4" t="s">
        <v>38</v>
      </c>
      <c r="C95" s="4" t="s">
        <v>39</v>
      </c>
      <c r="D95" s="4" t="s">
        <v>32</v>
      </c>
      <c r="E95" s="4" t="s">
        <v>54</v>
      </c>
      <c r="F95" s="4">
        <v>30</v>
      </c>
      <c r="H95" s="5" t="s">
        <v>277</v>
      </c>
      <c r="J95" s="4">
        <f>LN(0.2)</f>
        <v>-1.6094379124341003</v>
      </c>
      <c r="K95" s="4">
        <f>LN(20*0.9)</f>
        <v>2.8903717578961645</v>
      </c>
      <c r="L95" s="4">
        <f>LN(9)</f>
        <v>2.1972245773362196</v>
      </c>
      <c r="O95" s="4">
        <v>1</v>
      </c>
      <c r="P95" s="4">
        <v>6</v>
      </c>
      <c r="Q95" s="4">
        <v>0.85199999999999998</v>
      </c>
      <c r="R95" s="4">
        <v>-2.3582094386761909</v>
      </c>
      <c r="S95" s="4">
        <v>0.23568827248698979</v>
      </c>
      <c r="T95" s="4">
        <v>1.6310799810318928</v>
      </c>
      <c r="U95" s="4">
        <v>0.47003749036092951</v>
      </c>
      <c r="V95" s="4">
        <v>0.81419156367225465</v>
      </c>
      <c r="W95" s="4">
        <v>0.42621524442446734</v>
      </c>
      <c r="Z95" s="4">
        <v>0.11963437193093535</v>
      </c>
      <c r="AA95" s="4">
        <v>0.97114218940887509</v>
      </c>
    </row>
    <row r="96" spans="1:27" x14ac:dyDescent="0.25">
      <c r="A96" s="4" t="s">
        <v>188</v>
      </c>
      <c r="B96" s="4" t="s">
        <v>38</v>
      </c>
      <c r="C96" s="4" t="s">
        <v>39</v>
      </c>
      <c r="D96" s="4" t="s">
        <v>32</v>
      </c>
      <c r="E96" s="4" t="s">
        <v>54</v>
      </c>
      <c r="F96" s="4">
        <v>40</v>
      </c>
      <c r="H96" s="5" t="s">
        <v>277</v>
      </c>
      <c r="J96" s="4">
        <f>LN(0.2)</f>
        <v>-1.6094379124341003</v>
      </c>
      <c r="K96" s="4">
        <f>LN(20*0.9)</f>
        <v>2.8903717578961645</v>
      </c>
      <c r="L96" s="4">
        <f>LN(9)</f>
        <v>2.1972245773362196</v>
      </c>
      <c r="O96" s="4">
        <v>0</v>
      </c>
      <c r="P96" s="4">
        <v>6</v>
      </c>
      <c r="Q96" s="4">
        <v>0.85199999999999998</v>
      </c>
      <c r="R96" s="4">
        <v>-2.5403001407628842</v>
      </c>
      <c r="S96" s="4">
        <v>0.18265208839971578</v>
      </c>
      <c r="T96" s="4">
        <v>1.7979047152287984</v>
      </c>
      <c r="U96" s="4">
        <v>0.40752152304885253</v>
      </c>
      <c r="V96" s="4">
        <v>1.0128213232510326</v>
      </c>
      <c r="W96" s="4">
        <v>0.34083254854632355</v>
      </c>
      <c r="Z96" s="4">
        <v>0.10692155905349192</v>
      </c>
      <c r="AA96" s="4">
        <v>0.97747573910490237</v>
      </c>
    </row>
    <row r="97" spans="1:27" x14ac:dyDescent="0.25">
      <c r="A97" s="4" t="s">
        <v>189</v>
      </c>
      <c r="B97" s="4" t="s">
        <v>38</v>
      </c>
      <c r="C97" s="4" t="s">
        <v>39</v>
      </c>
      <c r="D97" s="4" t="s">
        <v>32</v>
      </c>
      <c r="E97" s="4" t="s">
        <v>54</v>
      </c>
      <c r="F97" s="4">
        <v>50</v>
      </c>
      <c r="H97" s="5" t="s">
        <v>277</v>
      </c>
      <c r="J97" s="4">
        <f>LN(0.2)</f>
        <v>-1.6094379124341003</v>
      </c>
      <c r="K97" s="4">
        <f>LN(20*0.9)</f>
        <v>2.8903717578961645</v>
      </c>
      <c r="L97" s="4">
        <f>LN(9)</f>
        <v>2.1972245773362196</v>
      </c>
      <c r="O97" s="4">
        <v>1</v>
      </c>
      <c r="P97" s="4">
        <v>6</v>
      </c>
      <c r="Q97" s="4">
        <v>0.85199999999999998</v>
      </c>
      <c r="R97" s="4">
        <v>-2.4966535690822766</v>
      </c>
      <c r="S97" s="4">
        <v>0.31530598957602873</v>
      </c>
      <c r="T97" s="4">
        <v>1.0146959806617113</v>
      </c>
      <c r="U97" s="4">
        <v>0.4878493878269623</v>
      </c>
      <c r="V97" s="4">
        <v>0.85044243475073977</v>
      </c>
      <c r="W97" s="4">
        <v>0.48909350196703721</v>
      </c>
      <c r="Z97" s="4">
        <v>0.12029555875794291</v>
      </c>
      <c r="AA97" s="4">
        <v>0.98012866181262337</v>
      </c>
    </row>
    <row r="98" spans="1:27" x14ac:dyDescent="0.25">
      <c r="A98" s="4" t="s">
        <v>190</v>
      </c>
      <c r="B98" s="4" t="s">
        <v>28</v>
      </c>
      <c r="D98" s="4" t="s">
        <v>6</v>
      </c>
      <c r="E98" s="4" t="s">
        <v>54</v>
      </c>
      <c r="F98" s="4">
        <v>10</v>
      </c>
      <c r="H98" s="5" t="s">
        <v>277</v>
      </c>
      <c r="J98" s="4">
        <f>LN(0.2)</f>
        <v>-1.6094379124341003</v>
      </c>
      <c r="K98" s="4">
        <f>LN(20*0.9)</f>
        <v>2.8903717578961645</v>
      </c>
      <c r="L98" s="4">
        <f>LN(9)</f>
        <v>2.1972245773362196</v>
      </c>
      <c r="O98" s="4">
        <v>0</v>
      </c>
      <c r="P98" s="4">
        <v>4</v>
      </c>
      <c r="Q98" s="4">
        <v>0.6967000000000001</v>
      </c>
      <c r="R98" s="4">
        <v>-2.3140895575813931</v>
      </c>
      <c r="S98" s="4">
        <v>6.7685995135638713E-3</v>
      </c>
      <c r="T98" s="4">
        <v>2.8141118566911048</v>
      </c>
      <c r="U98" s="4">
        <v>2.3015102941260166E-2</v>
      </c>
      <c r="V98" s="4">
        <v>0.77509522427351152</v>
      </c>
      <c r="W98" s="4">
        <v>1.9773189780440317E-2</v>
      </c>
      <c r="Z98" s="4">
        <v>3.1183263391706909E-3</v>
      </c>
      <c r="AA98" s="4">
        <v>0.99995428745263304</v>
      </c>
    </row>
    <row r="99" spans="1:27" x14ac:dyDescent="0.25">
      <c r="A99" s="4" t="s">
        <v>191</v>
      </c>
      <c r="B99" s="4" t="s">
        <v>28</v>
      </c>
      <c r="D99" s="4" t="s">
        <v>6</v>
      </c>
      <c r="E99" s="4" t="s">
        <v>54</v>
      </c>
      <c r="F99" s="4">
        <v>20</v>
      </c>
      <c r="H99" s="5" t="s">
        <v>277</v>
      </c>
      <c r="J99" s="4">
        <f>LN(0.2)</f>
        <v>-1.6094379124341003</v>
      </c>
      <c r="K99" s="4">
        <f>LN(20*0.9)</f>
        <v>2.8903717578961645</v>
      </c>
      <c r="L99" s="4">
        <f>LN(9)</f>
        <v>2.1972245773362196</v>
      </c>
      <c r="O99" s="4">
        <v>1</v>
      </c>
      <c r="P99" s="4">
        <v>4</v>
      </c>
      <c r="Q99" s="4">
        <v>0.63500000000000001</v>
      </c>
      <c r="R99" s="4">
        <v>-2.2677094257496111</v>
      </c>
      <c r="S99" s="4">
        <v>0.16425126080538233</v>
      </c>
      <c r="T99" s="4">
        <v>2.3783374196592488</v>
      </c>
      <c r="U99" s="4">
        <v>0.41272176909328506</v>
      </c>
      <c r="V99" s="4">
        <v>0.54158509351829576</v>
      </c>
      <c r="W99" s="4">
        <v>0.4903468942201395</v>
      </c>
      <c r="Z99" s="4">
        <v>5.6931784080501861E-2</v>
      </c>
      <c r="AA99" s="4">
        <v>0.98381872028089024</v>
      </c>
    </row>
    <row r="100" spans="1:27" x14ac:dyDescent="0.25">
      <c r="A100" s="4" t="s">
        <v>192</v>
      </c>
      <c r="B100" s="4" t="s">
        <v>28</v>
      </c>
      <c r="D100" s="4" t="s">
        <v>6</v>
      </c>
      <c r="E100" s="4" t="s">
        <v>54</v>
      </c>
      <c r="F100" s="4">
        <v>30</v>
      </c>
      <c r="H100" s="5" t="s">
        <v>277</v>
      </c>
      <c r="J100" s="4">
        <f>LN(0.2)</f>
        <v>-1.6094379124341003</v>
      </c>
      <c r="K100" s="4">
        <f>LN(20*0.9)</f>
        <v>2.8903717578961645</v>
      </c>
      <c r="L100" s="4">
        <f>LN(9)</f>
        <v>2.1972245773362196</v>
      </c>
      <c r="O100" s="4">
        <v>0</v>
      </c>
      <c r="P100" s="4">
        <v>4</v>
      </c>
      <c r="Q100" s="4">
        <v>0.64400000000000002</v>
      </c>
      <c r="R100" s="4">
        <v>-2.2004197430101753</v>
      </c>
      <c r="S100" s="4">
        <v>1.6124089830272904E-2</v>
      </c>
      <c r="T100" s="4">
        <v>1.9777129320679003</v>
      </c>
      <c r="U100" s="4">
        <v>3.1602886911575583E-2</v>
      </c>
      <c r="V100" s="4">
        <v>0.35369761298779995</v>
      </c>
      <c r="W100" s="4">
        <v>4.5319100047316034E-2</v>
      </c>
      <c r="Z100" s="4">
        <v>5.1344032049653989E-3</v>
      </c>
      <c r="AA100" s="4">
        <v>0.99989427982100176</v>
      </c>
    </row>
    <row r="101" spans="1:27" x14ac:dyDescent="0.25">
      <c r="A101" s="4" t="s">
        <v>193</v>
      </c>
      <c r="B101" s="4" t="s">
        <v>28</v>
      </c>
      <c r="D101" s="4" t="s">
        <v>6</v>
      </c>
      <c r="E101" s="4" t="s">
        <v>54</v>
      </c>
      <c r="F101" s="4">
        <v>40</v>
      </c>
      <c r="H101" s="5" t="s">
        <v>277</v>
      </c>
      <c r="J101" s="4">
        <f>LN(0.2)</f>
        <v>-1.6094379124341003</v>
      </c>
      <c r="K101" s="4">
        <f>LN(20*0.9)</f>
        <v>2.8903717578961645</v>
      </c>
      <c r="L101" s="4">
        <f>LN(9)</f>
        <v>2.1972245773362196</v>
      </c>
      <c r="O101" s="4">
        <v>0</v>
      </c>
      <c r="P101" s="4">
        <v>4</v>
      </c>
      <c r="Q101" s="4">
        <v>0.63900000000000001</v>
      </c>
      <c r="R101" s="4">
        <v>-2.3639886335299565</v>
      </c>
      <c r="S101" s="4">
        <v>2.1430840574604114E-2</v>
      </c>
      <c r="T101" s="4">
        <v>1.9276521025871844</v>
      </c>
      <c r="U101" s="4">
        <v>4.2389647280469074E-2</v>
      </c>
      <c r="V101" s="4">
        <v>0.72834687959478484</v>
      </c>
      <c r="W101" s="4">
        <v>6.0157441530323298E-2</v>
      </c>
      <c r="Z101" s="4">
        <v>7.1259833939248804E-3</v>
      </c>
      <c r="AA101" s="4">
        <v>0.99983420588420868</v>
      </c>
    </row>
    <row r="102" spans="1:27" x14ac:dyDescent="0.25">
      <c r="A102" s="4" t="s">
        <v>195</v>
      </c>
      <c r="B102" s="4" t="s">
        <v>28</v>
      </c>
      <c r="D102" s="4" t="s">
        <v>6</v>
      </c>
      <c r="E102" s="4" t="s">
        <v>53</v>
      </c>
      <c r="F102" s="4">
        <v>10</v>
      </c>
      <c r="H102" s="5" t="s">
        <v>277</v>
      </c>
      <c r="J102" s="4">
        <f>LN(0.2)</f>
        <v>-1.6094379124341003</v>
      </c>
      <c r="K102" s="4">
        <f>LN(20*0.9)</f>
        <v>2.8903717578961645</v>
      </c>
      <c r="L102" s="4">
        <f>LN(9)</f>
        <v>2.1972245773362196</v>
      </c>
      <c r="O102" s="4">
        <v>0</v>
      </c>
      <c r="P102" s="4">
        <v>4</v>
      </c>
      <c r="Q102" s="4">
        <v>0.6967000000000001</v>
      </c>
      <c r="R102" s="4">
        <v>-2.4591382754933258</v>
      </c>
      <c r="S102" s="4">
        <v>2.130836077636971E-2</v>
      </c>
      <c r="T102" s="4">
        <v>2.9198176727382523</v>
      </c>
      <c r="U102" s="4">
        <v>8.035259845516203E-2</v>
      </c>
      <c r="V102" s="4">
        <v>1.0291146408857765</v>
      </c>
      <c r="W102" s="4">
        <v>6.4864509490292585E-2</v>
      </c>
      <c r="Z102" s="4">
        <v>1.0681211515483067E-2</v>
      </c>
      <c r="AA102" s="4">
        <v>0.9995186678067669</v>
      </c>
    </row>
    <row r="103" spans="1:27" x14ac:dyDescent="0.25">
      <c r="A103" s="4" t="s">
        <v>196</v>
      </c>
      <c r="B103" s="4" t="s">
        <v>28</v>
      </c>
      <c r="D103" s="4" t="s">
        <v>6</v>
      </c>
      <c r="E103" s="4" t="s">
        <v>53</v>
      </c>
      <c r="F103" s="4">
        <v>20</v>
      </c>
      <c r="H103" s="5" t="s">
        <v>277</v>
      </c>
      <c r="J103" s="4">
        <f>LN(0.2)</f>
        <v>-1.6094379124341003</v>
      </c>
      <c r="K103" s="4">
        <f>LN(20*0.9)</f>
        <v>2.8903717578961645</v>
      </c>
      <c r="L103" s="4">
        <f>LN(9)</f>
        <v>2.1972245773362196</v>
      </c>
      <c r="O103" s="4">
        <v>1</v>
      </c>
      <c r="P103" s="4">
        <v>4</v>
      </c>
      <c r="Q103" s="4">
        <v>0.63500000000000001</v>
      </c>
      <c r="R103" s="4">
        <v>-2.4331433639221651</v>
      </c>
      <c r="S103" s="4">
        <v>0.15173101020958607</v>
      </c>
      <c r="T103" s="4">
        <v>2.4750589212758376</v>
      </c>
      <c r="U103" s="4">
        <v>0.41820405532853827</v>
      </c>
      <c r="V103" s="4">
        <v>0.85526433772467836</v>
      </c>
      <c r="W103" s="4">
        <v>0.47351115875828115</v>
      </c>
      <c r="Z103" s="4">
        <v>5.8721085648566818E-2</v>
      </c>
      <c r="AA103" s="4">
        <v>0.98460539968513405</v>
      </c>
    </row>
    <row r="104" spans="1:27" x14ac:dyDescent="0.25">
      <c r="A104" s="4" t="s">
        <v>197</v>
      </c>
      <c r="B104" s="4" t="s">
        <v>28</v>
      </c>
      <c r="D104" s="4" t="s">
        <v>6</v>
      </c>
      <c r="E104" s="4" t="s">
        <v>53</v>
      </c>
      <c r="F104" s="4">
        <v>30</v>
      </c>
      <c r="H104" s="5" t="s">
        <v>277</v>
      </c>
      <c r="J104" s="4">
        <f>LN(0.2)</f>
        <v>-1.6094379124341003</v>
      </c>
      <c r="K104" s="4">
        <f>LN(20*0.9)</f>
        <v>2.8903717578961645</v>
      </c>
      <c r="L104" s="4">
        <f>LN(9)</f>
        <v>2.1972245773362196</v>
      </c>
      <c r="O104" s="4">
        <v>0</v>
      </c>
      <c r="P104" s="4">
        <v>4</v>
      </c>
      <c r="Q104" s="4">
        <v>0.64400000000000002</v>
      </c>
      <c r="R104" s="4">
        <v>-2.4087964733117126</v>
      </c>
      <c r="S104" s="4">
        <v>1.3679613937441307E-2</v>
      </c>
      <c r="T104" s="4">
        <v>2.1637811889769627</v>
      </c>
      <c r="U104" s="4">
        <v>3.0821387781099285E-2</v>
      </c>
      <c r="V104" s="4">
        <v>0.75050657850475444</v>
      </c>
      <c r="W104" s="4">
        <v>4.0593810519345595E-2</v>
      </c>
      <c r="Z104" s="4">
        <v>5.2214748319992944E-3</v>
      </c>
      <c r="AA104" s="4">
        <v>0.99989762279142025</v>
      </c>
    </row>
    <row r="105" spans="1:27" x14ac:dyDescent="0.25">
      <c r="A105" s="4" t="s">
        <v>198</v>
      </c>
      <c r="B105" s="4" t="s">
        <v>28</v>
      </c>
      <c r="D105" s="4" t="s">
        <v>6</v>
      </c>
      <c r="E105" s="4" t="s">
        <v>53</v>
      </c>
      <c r="F105" s="4">
        <v>40</v>
      </c>
      <c r="H105" s="5" t="s">
        <v>277</v>
      </c>
      <c r="J105" s="4">
        <f>LN(0.2)</f>
        <v>-1.6094379124341003</v>
      </c>
      <c r="K105" s="4">
        <f>LN(20*0.9)</f>
        <v>2.8903717578961645</v>
      </c>
      <c r="L105" s="4">
        <f>LN(9)</f>
        <v>2.1972245773362196</v>
      </c>
      <c r="O105" s="4">
        <v>0</v>
      </c>
      <c r="P105" s="4">
        <v>4</v>
      </c>
      <c r="Q105" s="4">
        <v>0.63900000000000001</v>
      </c>
      <c r="R105" s="4">
        <v>-2.4891988656256103</v>
      </c>
      <c r="S105" s="4">
        <v>4.219002945616656E-2</v>
      </c>
      <c r="T105" s="4">
        <v>1.8934812971786923</v>
      </c>
      <c r="U105" s="4">
        <v>8.3502134399200623E-2</v>
      </c>
      <c r="V105" s="4">
        <v>0.93193409008456884</v>
      </c>
      <c r="W105" s="4">
        <v>0.12148471846940143</v>
      </c>
      <c r="Z105" s="4">
        <v>1.463174070322457E-2</v>
      </c>
      <c r="AA105" s="4">
        <v>0.99937838068371054</v>
      </c>
    </row>
    <row r="106" spans="1:27" x14ac:dyDescent="0.25">
      <c r="A106" s="4" t="s">
        <v>200</v>
      </c>
      <c r="B106" s="4" t="s">
        <v>40</v>
      </c>
      <c r="C106" s="4" t="s">
        <v>41</v>
      </c>
      <c r="D106" s="4" t="s">
        <v>27</v>
      </c>
      <c r="F106" s="4">
        <v>5</v>
      </c>
      <c r="H106" s="5" t="s">
        <v>277</v>
      </c>
      <c r="J106" s="4">
        <f>LN(0.2)</f>
        <v>-1.6094379124341003</v>
      </c>
      <c r="K106" s="4">
        <f>LN(20*0.9)</f>
        <v>2.8903717578961645</v>
      </c>
      <c r="L106" s="4">
        <f>LN(9)</f>
        <v>2.1972245773362196</v>
      </c>
      <c r="O106" s="4">
        <v>0</v>
      </c>
      <c r="P106" s="4">
        <v>8</v>
      </c>
      <c r="Q106" s="4">
        <v>0.95150000000000001</v>
      </c>
      <c r="R106" s="4">
        <v>-3.5374431448180008</v>
      </c>
      <c r="S106" s="4">
        <v>0.11564159055416187</v>
      </c>
      <c r="T106" s="4">
        <v>4.1066919275200862</v>
      </c>
      <c r="U106" s="4">
        <v>0.29570296076517083</v>
      </c>
      <c r="V106" s="4">
        <v>2.8042777039499458</v>
      </c>
      <c r="W106" s="4">
        <v>0.46496252773834729</v>
      </c>
      <c r="Z106" s="4">
        <v>0.20308655956412308</v>
      </c>
      <c r="AA106" s="4">
        <v>0.97528329968083971</v>
      </c>
    </row>
    <row r="107" spans="1:27" x14ac:dyDescent="0.25">
      <c r="A107" s="4" t="s">
        <v>201</v>
      </c>
      <c r="B107" s="4" t="s">
        <v>40</v>
      </c>
      <c r="C107" s="4" t="s">
        <v>41</v>
      </c>
      <c r="D107" s="4" t="s">
        <v>27</v>
      </c>
      <c r="F107" s="4">
        <v>20</v>
      </c>
      <c r="H107" s="5" t="s">
        <v>277</v>
      </c>
      <c r="J107" s="4">
        <f>LN(0.2)</f>
        <v>-1.6094379124341003</v>
      </c>
      <c r="K107" s="4">
        <f>LN(20*0.9)</f>
        <v>2.8903717578961645</v>
      </c>
      <c r="L107" s="4">
        <f>LN(9)</f>
        <v>2.1972245773362196</v>
      </c>
      <c r="O107" s="4">
        <v>0</v>
      </c>
      <c r="P107" s="4">
        <v>8</v>
      </c>
      <c r="Q107" s="4">
        <v>0.95119999999999993</v>
      </c>
      <c r="R107" s="4">
        <v>-3.4716898290192741</v>
      </c>
      <c r="S107" s="4">
        <v>7.5054194877854669E-2</v>
      </c>
      <c r="T107" s="4">
        <v>3.0672378130239824</v>
      </c>
      <c r="U107" s="4">
        <v>0.15576454379663804</v>
      </c>
      <c r="V107" s="4">
        <v>2.5083281387174643</v>
      </c>
      <c r="W107" s="4">
        <v>0.24689304512434859</v>
      </c>
      <c r="Z107" s="4">
        <v>0.11308663646681877</v>
      </c>
      <c r="AA107" s="4">
        <v>0.99375276032411552</v>
      </c>
    </row>
    <row r="108" spans="1:27" x14ac:dyDescent="0.25">
      <c r="A108" s="4" t="s">
        <v>202</v>
      </c>
      <c r="B108" s="4" t="s">
        <v>40</v>
      </c>
      <c r="C108" s="4" t="s">
        <v>41</v>
      </c>
      <c r="D108" s="4" t="s">
        <v>27</v>
      </c>
      <c r="F108" s="4">
        <v>40</v>
      </c>
      <c r="H108" s="5" t="s">
        <v>277</v>
      </c>
      <c r="J108" s="4">
        <f>LN(0.2)</f>
        <v>-1.6094379124341003</v>
      </c>
      <c r="K108" s="4">
        <f>LN(20*0.9)</f>
        <v>2.8903717578961645</v>
      </c>
      <c r="L108" s="4">
        <f>LN(9)</f>
        <v>2.1972245773362196</v>
      </c>
      <c r="O108" s="4">
        <v>0</v>
      </c>
      <c r="P108" s="4">
        <v>8</v>
      </c>
      <c r="Q108" s="4">
        <v>0.94989999999999997</v>
      </c>
      <c r="R108" s="4">
        <v>-3.445822795339391</v>
      </c>
      <c r="S108" s="4">
        <v>0.10473916434953986</v>
      </c>
      <c r="T108" s="4">
        <v>2.3148564914489862</v>
      </c>
      <c r="U108" s="4">
        <v>0.18865213611505982</v>
      </c>
      <c r="V108" s="4">
        <v>2.2068787792424756</v>
      </c>
      <c r="W108" s="4">
        <v>0.28607322789593709</v>
      </c>
      <c r="Z108" s="4">
        <v>0.13119762452145667</v>
      </c>
      <c r="AA108" s="4">
        <v>0.99235200431959769</v>
      </c>
    </row>
    <row r="109" spans="1:27" x14ac:dyDescent="0.25">
      <c r="A109" s="4" t="s">
        <v>203</v>
      </c>
      <c r="B109" s="4" t="s">
        <v>40</v>
      </c>
      <c r="C109" s="4" t="s">
        <v>41</v>
      </c>
      <c r="D109" s="4" t="s">
        <v>27</v>
      </c>
      <c r="F109" s="4">
        <v>60</v>
      </c>
      <c r="H109" s="5" t="s">
        <v>277</v>
      </c>
      <c r="J109" s="4">
        <f>LN(0.2)</f>
        <v>-1.6094379124341003</v>
      </c>
      <c r="K109" s="4">
        <f>LN(20*0.9)</f>
        <v>2.8903717578961645</v>
      </c>
      <c r="L109" s="4">
        <f>LN(9)</f>
        <v>2.1972245773362196</v>
      </c>
      <c r="O109" s="4">
        <v>0</v>
      </c>
      <c r="P109" s="4">
        <v>8</v>
      </c>
      <c r="Q109" s="4">
        <v>0.94769999999999999</v>
      </c>
      <c r="R109" s="4">
        <v>-3.5848866210738835</v>
      </c>
      <c r="S109" s="4">
        <v>6.6597781738053696E-2</v>
      </c>
      <c r="T109" s="4">
        <v>2.2767676658556906</v>
      </c>
      <c r="U109" s="4">
        <v>0.12392034874107595</v>
      </c>
      <c r="V109" s="4">
        <v>2.2790198843531817</v>
      </c>
      <c r="W109" s="4">
        <v>0.18319750840525023</v>
      </c>
      <c r="Z109" s="4">
        <v>8.3635117795871794E-2</v>
      </c>
      <c r="AA109" s="4">
        <v>0.99660331329320639</v>
      </c>
    </row>
    <row r="110" spans="1:27" x14ac:dyDescent="0.25">
      <c r="A110" s="4" t="s">
        <v>204</v>
      </c>
      <c r="B110" s="4" t="s">
        <v>42</v>
      </c>
      <c r="D110" s="4" t="s">
        <v>43</v>
      </c>
      <c r="E110" s="4" t="s">
        <v>53</v>
      </c>
      <c r="F110" s="4">
        <v>25</v>
      </c>
      <c r="H110" s="5" t="s">
        <v>277</v>
      </c>
      <c r="J110" s="4">
        <f>LN(0.2)</f>
        <v>-1.6094379124341003</v>
      </c>
      <c r="K110" s="4">
        <f>LN(20*0.9)</f>
        <v>2.8903717578961645</v>
      </c>
      <c r="L110" s="4">
        <f>LN(9)</f>
        <v>2.1972245773362196</v>
      </c>
      <c r="O110" s="4">
        <v>0</v>
      </c>
      <c r="P110" s="4">
        <v>8</v>
      </c>
      <c r="Q110" s="4">
        <v>0.84279999999999999</v>
      </c>
      <c r="R110" s="4">
        <v>-2.928750572901957</v>
      </c>
      <c r="S110" s="4">
        <v>5.0962513754430637E-2</v>
      </c>
      <c r="T110" s="4">
        <v>1.6467810469323823</v>
      </c>
      <c r="U110" s="4">
        <v>0.11208241555910366</v>
      </c>
      <c r="V110" s="4">
        <v>1.1992420707144438</v>
      </c>
      <c r="W110" s="4">
        <v>9.8513564038107557E-2</v>
      </c>
      <c r="Z110" s="4">
        <v>3.3127124904990798E-2</v>
      </c>
      <c r="AA110" s="4">
        <v>0.99777979265595884</v>
      </c>
    </row>
    <row r="111" spans="1:27" x14ac:dyDescent="0.25">
      <c r="A111" s="4" t="s">
        <v>205</v>
      </c>
      <c r="B111" s="4" t="s">
        <v>42</v>
      </c>
      <c r="D111" s="4" t="s">
        <v>43</v>
      </c>
      <c r="E111" s="4" t="s">
        <v>54</v>
      </c>
      <c r="F111" s="4">
        <v>25</v>
      </c>
      <c r="H111" s="5" t="s">
        <v>277</v>
      </c>
      <c r="J111" s="4">
        <f>LN(0.2)</f>
        <v>-1.6094379124341003</v>
      </c>
      <c r="K111" s="4">
        <f>LN(20*0.9)</f>
        <v>2.8903717578961645</v>
      </c>
      <c r="L111" s="4">
        <f>LN(9)</f>
        <v>2.1972245773362196</v>
      </c>
      <c r="O111" s="4">
        <v>0</v>
      </c>
      <c r="P111" s="4">
        <v>8</v>
      </c>
      <c r="Q111" s="4">
        <v>0.84279999999999999</v>
      </c>
      <c r="R111" s="4">
        <v>-2.6202345625608796</v>
      </c>
      <c r="S111" s="4">
        <v>3.5471990212101713E-2</v>
      </c>
      <c r="T111" s="4">
        <v>2.4357408671907637</v>
      </c>
      <c r="U111" s="4">
        <v>0.11554478986575846</v>
      </c>
      <c r="V111" s="4">
        <v>0.65180092521291877</v>
      </c>
      <c r="W111" s="4">
        <v>7.7063312327338415E-2</v>
      </c>
      <c r="Z111" s="4">
        <v>2.3878631185503159E-2</v>
      </c>
      <c r="AA111" s="4">
        <v>0.99745522071258652</v>
      </c>
    </row>
    <row r="112" spans="1:27" x14ac:dyDescent="0.25">
      <c r="A112" s="4" t="s">
        <v>206</v>
      </c>
      <c r="B112" s="4" t="s">
        <v>42</v>
      </c>
      <c r="D112" s="4" t="s">
        <v>43</v>
      </c>
      <c r="E112" s="4" t="s">
        <v>53</v>
      </c>
      <c r="F112" s="4">
        <v>30</v>
      </c>
      <c r="H112" s="5" t="s">
        <v>277</v>
      </c>
      <c r="J112" s="4">
        <f>LN(0.2)</f>
        <v>-1.6094379124341003</v>
      </c>
      <c r="K112" s="4">
        <f>LN(20*0.9)</f>
        <v>2.8903717578961645</v>
      </c>
      <c r="L112" s="4">
        <f>LN(9)</f>
        <v>2.1972245773362196</v>
      </c>
      <c r="O112" s="4">
        <v>0</v>
      </c>
      <c r="P112" s="4">
        <v>8</v>
      </c>
      <c r="Q112" s="4">
        <v>0.84499999999999997</v>
      </c>
      <c r="R112" s="4">
        <v>-2.8911388900326243</v>
      </c>
      <c r="S112" s="4">
        <v>3.0223157703497632E-2</v>
      </c>
      <c r="T112" s="4">
        <v>2.5698251772700513</v>
      </c>
      <c r="U112" s="4">
        <v>0.12096520784704096</v>
      </c>
      <c r="V112" s="4">
        <v>1.3236270914151029</v>
      </c>
      <c r="W112" s="4">
        <v>6.6844460600480035E-2</v>
      </c>
      <c r="Z112" s="4">
        <v>2.6515448189976473E-2</v>
      </c>
      <c r="AA112" s="4">
        <v>0.9979941832210788</v>
      </c>
    </row>
    <row r="113" spans="1:27" x14ac:dyDescent="0.25">
      <c r="A113" s="4" t="s">
        <v>207</v>
      </c>
      <c r="B113" s="4" t="s">
        <v>42</v>
      </c>
      <c r="D113" s="4" t="s">
        <v>43</v>
      </c>
      <c r="E113" s="4" t="s">
        <v>54</v>
      </c>
      <c r="F113" s="4">
        <v>30</v>
      </c>
      <c r="H113" s="5" t="s">
        <v>277</v>
      </c>
      <c r="J113" s="4">
        <f>LN(0.2)</f>
        <v>-1.6094379124341003</v>
      </c>
      <c r="K113" s="4">
        <f>LN(20*0.9)</f>
        <v>2.8903717578961645</v>
      </c>
      <c r="L113" s="4">
        <f>LN(9)</f>
        <v>2.1972245773362196</v>
      </c>
      <c r="O113" s="4">
        <v>0</v>
      </c>
      <c r="P113" s="4">
        <v>8</v>
      </c>
      <c r="Q113" s="4">
        <v>0.84499999999999997</v>
      </c>
      <c r="R113" s="4">
        <v>-2.5473155822200071</v>
      </c>
      <c r="S113" s="4">
        <v>2.8417203850582263E-2</v>
      </c>
      <c r="T113" s="4">
        <v>2.6928277861778258</v>
      </c>
      <c r="U113" s="4">
        <v>0.11422974681022262</v>
      </c>
      <c r="V113" s="4">
        <v>0.79097060421844301</v>
      </c>
      <c r="W113" s="4">
        <v>6.2616802515627776E-2</v>
      </c>
      <c r="Z113" s="4">
        <v>2.1245229331365523E-2</v>
      </c>
      <c r="AA113" s="4">
        <v>0.99796278609111944</v>
      </c>
    </row>
    <row r="114" spans="1:27" x14ac:dyDescent="0.25">
      <c r="A114" s="4" t="s">
        <v>208</v>
      </c>
      <c r="B114" s="4" t="s">
        <v>42</v>
      </c>
      <c r="D114" s="4" t="s">
        <v>43</v>
      </c>
      <c r="E114" s="4" t="s">
        <v>53</v>
      </c>
      <c r="F114" s="4">
        <v>35</v>
      </c>
      <c r="H114" s="5" t="s">
        <v>277</v>
      </c>
      <c r="J114" s="4">
        <f>LN(0.2)</f>
        <v>-1.6094379124341003</v>
      </c>
      <c r="K114" s="4">
        <f>LN(20*0.9)</f>
        <v>2.8903717578961645</v>
      </c>
      <c r="L114" s="4">
        <f>LN(9)</f>
        <v>2.1972245773362196</v>
      </c>
      <c r="O114" s="4">
        <v>0</v>
      </c>
      <c r="P114" s="4">
        <v>8</v>
      </c>
      <c r="Q114" s="4">
        <v>0.86429999999999996</v>
      </c>
      <c r="R114" s="4">
        <v>-2.904457567086228</v>
      </c>
      <c r="S114" s="4">
        <v>7.8506917452861452E-2</v>
      </c>
      <c r="T114" s="4">
        <v>2.0286797293370702</v>
      </c>
      <c r="U114" s="4">
        <v>0.21362612976461406</v>
      </c>
      <c r="V114" s="4">
        <v>1.1111753644923104</v>
      </c>
      <c r="W114" s="4">
        <v>0.15310296352501665</v>
      </c>
      <c r="Z114" s="4">
        <v>5.8839598700690075E-2</v>
      </c>
      <c r="AA114" s="4">
        <v>0.99155889730929747</v>
      </c>
    </row>
    <row r="115" spans="1:27" x14ac:dyDescent="0.25">
      <c r="A115" s="4" t="s">
        <v>209</v>
      </c>
      <c r="B115" s="4" t="s">
        <v>42</v>
      </c>
      <c r="D115" s="4" t="s">
        <v>43</v>
      </c>
      <c r="E115" s="4" t="s">
        <v>54</v>
      </c>
      <c r="F115" s="4">
        <v>35</v>
      </c>
      <c r="H115" s="5" t="s">
        <v>277</v>
      </c>
      <c r="J115" s="4">
        <f>LN(0.2)</f>
        <v>-1.6094379124341003</v>
      </c>
      <c r="K115" s="4">
        <f>LN(20*0.9)</f>
        <v>2.8903717578961645</v>
      </c>
      <c r="L115" s="4">
        <f>LN(9)</f>
        <v>2.1972245773362196</v>
      </c>
      <c r="O115" s="4">
        <v>0</v>
      </c>
      <c r="P115" s="4">
        <v>8</v>
      </c>
      <c r="Q115" s="4">
        <v>0.86429999999999996</v>
      </c>
      <c r="R115" s="4">
        <v>-2.6952698181447778</v>
      </c>
      <c r="S115" s="4">
        <v>5.4211604109053096E-2</v>
      </c>
      <c r="T115" s="4">
        <v>2.555688648591659</v>
      </c>
      <c r="U115" s="4">
        <v>0.19721727686717014</v>
      </c>
      <c r="V115" s="4">
        <v>0.78359153018193561</v>
      </c>
      <c r="W115" s="4">
        <v>0.113918455038196</v>
      </c>
      <c r="Z115" s="4">
        <v>4.0719401709416778E-2</v>
      </c>
      <c r="AA115" s="4">
        <v>0.99335204301698865</v>
      </c>
    </row>
    <row r="116" spans="1:27" x14ac:dyDescent="0.25">
      <c r="A116" s="4" t="s">
        <v>210</v>
      </c>
      <c r="B116" s="4" t="s">
        <v>42</v>
      </c>
      <c r="D116" s="4" t="s">
        <v>43</v>
      </c>
      <c r="E116" s="4" t="s">
        <v>54</v>
      </c>
      <c r="F116" s="4">
        <v>35</v>
      </c>
      <c r="H116" s="5" t="s">
        <v>277</v>
      </c>
      <c r="J116" s="4">
        <f>LN(0.2)</f>
        <v>-1.6094379124341003</v>
      </c>
      <c r="K116" s="4">
        <f>LN(20*0.9)</f>
        <v>2.8903717578961645</v>
      </c>
      <c r="L116" s="4">
        <f>LN(9)</f>
        <v>2.1972245773362196</v>
      </c>
      <c r="O116" s="4">
        <v>0</v>
      </c>
      <c r="P116" s="4">
        <v>10</v>
      </c>
      <c r="Q116" s="4">
        <v>0.74299999999999999</v>
      </c>
      <c r="R116" s="4">
        <v>-2.6659413564893852</v>
      </c>
      <c r="S116" s="4">
        <v>9.0328827025522376E-2</v>
      </c>
      <c r="T116" s="4">
        <v>2.0524951816062305</v>
      </c>
      <c r="U116" s="4">
        <v>0.24053545454212671</v>
      </c>
      <c r="V116" s="4">
        <v>1.1994328756569601</v>
      </c>
      <c r="W116" s="4">
        <v>0.23429972240560956</v>
      </c>
      <c r="Z116" s="4">
        <v>6.1019772326258083E-2</v>
      </c>
      <c r="AA116" s="4">
        <v>0.98667682453712136</v>
      </c>
    </row>
    <row r="117" spans="1:27" x14ac:dyDescent="0.25">
      <c r="A117" s="4" t="s">
        <v>211</v>
      </c>
      <c r="B117" s="4" t="s">
        <v>42</v>
      </c>
      <c r="D117" s="4" t="s">
        <v>43</v>
      </c>
      <c r="E117" s="4" t="s">
        <v>53</v>
      </c>
      <c r="F117" s="4">
        <v>40</v>
      </c>
      <c r="H117" s="5" t="s">
        <v>277</v>
      </c>
      <c r="J117" s="4">
        <f>LN(0.2)</f>
        <v>-1.6094379124341003</v>
      </c>
      <c r="K117" s="4">
        <f>LN(20*0.9)</f>
        <v>2.8903717578961645</v>
      </c>
      <c r="L117" s="4">
        <f>LN(9)</f>
        <v>2.1972245773362196</v>
      </c>
      <c r="N117" s="4"/>
      <c r="O117" s="4">
        <v>1</v>
      </c>
      <c r="P117" s="4">
        <v>7</v>
      </c>
      <c r="Q117" s="4">
        <v>0.72519999999999996</v>
      </c>
      <c r="R117" s="4">
        <v>-2.5558319041777766</v>
      </c>
      <c r="S117" s="4">
        <v>0.10053058922904846</v>
      </c>
      <c r="T117" s="4">
        <v>1.5110893294138867</v>
      </c>
      <c r="U117" s="4">
        <v>0.16831251329908881</v>
      </c>
      <c r="V117" s="4">
        <v>0.18085031689075995</v>
      </c>
      <c r="W117" s="4">
        <v>0.22116937403383446</v>
      </c>
      <c r="Z117" s="4">
        <v>3.0730445399590776E-2</v>
      </c>
      <c r="AA117" s="4">
        <v>0.99651882200453756</v>
      </c>
    </row>
    <row r="118" spans="1:27" x14ac:dyDescent="0.25">
      <c r="A118" s="4" t="s">
        <v>212</v>
      </c>
      <c r="B118" s="4" t="s">
        <v>42</v>
      </c>
      <c r="D118" s="4" t="s">
        <v>43</v>
      </c>
      <c r="E118" s="4" t="s">
        <v>54</v>
      </c>
      <c r="F118" s="4">
        <v>40</v>
      </c>
      <c r="H118" s="5" t="s">
        <v>277</v>
      </c>
      <c r="J118" s="4">
        <f>LN(0.2)</f>
        <v>-1.6094379124341003</v>
      </c>
      <c r="K118" s="4">
        <f>LN(20*0.9)</f>
        <v>2.8903717578961645</v>
      </c>
      <c r="L118" s="4">
        <f>LN(9)</f>
        <v>2.1972245773362196</v>
      </c>
      <c r="O118" s="4">
        <v>1</v>
      </c>
      <c r="P118" s="4">
        <v>7</v>
      </c>
      <c r="Q118" s="4">
        <v>0.72519999999999996</v>
      </c>
      <c r="R118" s="4">
        <v>-2.5486341660717278</v>
      </c>
      <c r="S118" s="4">
        <v>6.1602076146567777E-2</v>
      </c>
      <c r="T118" s="4">
        <v>2.1028300552279564</v>
      </c>
      <c r="U118" s="4">
        <v>0.14189793136019621</v>
      </c>
      <c r="V118" s="4">
        <v>0.26755078485911576</v>
      </c>
      <c r="W118" s="4">
        <v>0.1541394044552728</v>
      </c>
      <c r="Z118" s="4">
        <v>2.5794281370462559E-2</v>
      </c>
      <c r="AA118" s="4">
        <v>0.99640821104699573</v>
      </c>
    </row>
    <row r="119" spans="1:27" x14ac:dyDescent="0.25">
      <c r="A119" s="4" t="s">
        <v>213</v>
      </c>
      <c r="B119" s="4" t="s">
        <v>42</v>
      </c>
      <c r="D119" s="4" t="s">
        <v>43</v>
      </c>
      <c r="F119" s="4">
        <v>40</v>
      </c>
      <c r="H119" s="5" t="s">
        <v>277</v>
      </c>
      <c r="J119" s="4">
        <f>LN(0.2)</f>
        <v>-1.6094379124341003</v>
      </c>
      <c r="K119" s="4">
        <f>LN(20*0.9)</f>
        <v>2.8903717578961645</v>
      </c>
      <c r="L119" s="4">
        <f>LN(9)</f>
        <v>2.1972245773362196</v>
      </c>
      <c r="O119" s="4">
        <v>0</v>
      </c>
      <c r="P119" s="4">
        <v>4</v>
      </c>
      <c r="Q119" s="4">
        <v>0.60000000000000009</v>
      </c>
      <c r="R119" s="4">
        <v>-2.5917509076871101</v>
      </c>
      <c r="S119" s="4">
        <v>0.10565797977122646</v>
      </c>
      <c r="T119" s="4">
        <v>2.0743301469976236</v>
      </c>
      <c r="U119" s="4">
        <v>0.31222203641022678</v>
      </c>
      <c r="V119" s="4">
        <v>1.171127626853242</v>
      </c>
      <c r="W119" s="4">
        <v>0.27307409507068925</v>
      </c>
      <c r="Z119" s="4">
        <v>3.2971923747687155E-2</v>
      </c>
      <c r="AA119" s="4">
        <v>0.99544028438898879</v>
      </c>
    </row>
    <row r="120" spans="1:27" x14ac:dyDescent="0.25">
      <c r="A120" s="4" t="s">
        <v>214</v>
      </c>
      <c r="B120" s="4" t="s">
        <v>42</v>
      </c>
      <c r="D120" s="4" t="s">
        <v>43</v>
      </c>
      <c r="E120" s="4" t="s">
        <v>53</v>
      </c>
      <c r="F120" s="4">
        <v>45</v>
      </c>
      <c r="H120" s="5" t="s">
        <v>277</v>
      </c>
      <c r="J120" s="4">
        <f>LN(0.2)</f>
        <v>-1.6094379124341003</v>
      </c>
      <c r="K120" s="4">
        <f>LN(20*0.9)</f>
        <v>2.8903717578961645</v>
      </c>
      <c r="L120" s="4">
        <f>LN(9)</f>
        <v>2.1972245773362196</v>
      </c>
      <c r="O120" s="4">
        <v>0</v>
      </c>
      <c r="P120" s="4">
        <v>5</v>
      </c>
      <c r="Q120" s="4">
        <v>0.77249999999999996</v>
      </c>
      <c r="R120" s="4">
        <v>-2.6060148069023898</v>
      </c>
      <c r="S120" s="4">
        <v>6.207612406626177E-2</v>
      </c>
      <c r="T120" s="4">
        <v>1.500752224932594</v>
      </c>
      <c r="U120" s="4">
        <v>0.13207805299636477</v>
      </c>
      <c r="V120" s="4">
        <v>0.35267548551973421</v>
      </c>
      <c r="W120" s="4">
        <v>0.10312275286127238</v>
      </c>
      <c r="Z120" s="4">
        <v>1.9277282882287104E-2</v>
      </c>
      <c r="AA120" s="4">
        <v>0.99854633824123551</v>
      </c>
    </row>
    <row r="121" spans="1:27" x14ac:dyDescent="0.25">
      <c r="A121" s="4" t="s">
        <v>215</v>
      </c>
      <c r="B121" s="4" t="s">
        <v>42</v>
      </c>
      <c r="D121" s="4" t="s">
        <v>43</v>
      </c>
      <c r="E121" s="4" t="s">
        <v>54</v>
      </c>
      <c r="F121" s="4">
        <v>45</v>
      </c>
      <c r="H121" s="5" t="s">
        <v>277</v>
      </c>
      <c r="J121" s="4">
        <f>LN(0.2)</f>
        <v>-1.6094379124341003</v>
      </c>
      <c r="K121" s="4">
        <f>LN(20*0.9)</f>
        <v>2.8903717578961645</v>
      </c>
      <c r="L121" s="4">
        <f>LN(9)</f>
        <v>2.1972245773362196</v>
      </c>
      <c r="O121" s="4">
        <v>0</v>
      </c>
      <c r="P121" s="4">
        <v>7</v>
      </c>
      <c r="Q121" s="4">
        <v>0.7</v>
      </c>
      <c r="R121" s="4">
        <v>-2.6519155917006345</v>
      </c>
      <c r="S121" s="4">
        <v>4.2078933207775844E-2</v>
      </c>
      <c r="T121" s="4">
        <v>2.2047443672128404</v>
      </c>
      <c r="U121" s="4">
        <v>0.10558534967882048</v>
      </c>
      <c r="V121" s="4">
        <v>0.69727746526998979</v>
      </c>
      <c r="W121" s="4">
        <v>0.11036729613841038</v>
      </c>
      <c r="Z121" s="4">
        <v>1.9811167188448404E-2</v>
      </c>
      <c r="AA121" s="4">
        <v>0.9981933102711037</v>
      </c>
    </row>
    <row r="122" spans="1:27" x14ac:dyDescent="0.25">
      <c r="A122" s="4" t="s">
        <v>216</v>
      </c>
      <c r="B122" s="4" t="s">
        <v>42</v>
      </c>
      <c r="D122" s="4" t="s">
        <v>43</v>
      </c>
      <c r="E122" s="4" t="s">
        <v>54</v>
      </c>
      <c r="F122" s="4">
        <v>45</v>
      </c>
      <c r="H122" s="5" t="s">
        <v>277</v>
      </c>
      <c r="J122" s="4">
        <f>LN(0.2)</f>
        <v>-1.6094379124341003</v>
      </c>
      <c r="K122" s="4">
        <f>LN(20*0.9)</f>
        <v>2.8903717578961645</v>
      </c>
      <c r="L122" s="4">
        <f>LN(9)</f>
        <v>2.1972245773362196</v>
      </c>
      <c r="O122" s="4">
        <v>0</v>
      </c>
      <c r="P122" s="4">
        <v>9</v>
      </c>
      <c r="Q122" s="4">
        <v>0.76200000000000001</v>
      </c>
      <c r="R122" s="4">
        <v>-2.8071937769300574</v>
      </c>
      <c r="S122" s="4">
        <v>9.7609839716261179E-2</v>
      </c>
      <c r="T122" s="4">
        <v>2.0852503933291771</v>
      </c>
      <c r="U122" s="4">
        <v>0.26250324884513598</v>
      </c>
      <c r="V122" s="4">
        <v>1.3311834924289125</v>
      </c>
      <c r="W122" s="4">
        <v>0.24395257723105918</v>
      </c>
      <c r="Z122" s="4">
        <v>6.7696079798344438E-2</v>
      </c>
      <c r="AA122" s="4">
        <v>0.9871954573952002</v>
      </c>
    </row>
    <row r="123" spans="1:27" x14ac:dyDescent="0.25">
      <c r="A123" s="4" t="s">
        <v>217</v>
      </c>
      <c r="B123" s="4" t="s">
        <v>42</v>
      </c>
      <c r="D123" s="4" t="s">
        <v>43</v>
      </c>
      <c r="E123" s="4" t="s">
        <v>53</v>
      </c>
      <c r="F123" s="4">
        <v>50</v>
      </c>
      <c r="H123" s="5" t="s">
        <v>277</v>
      </c>
      <c r="J123" s="4">
        <f>LN(0.2)</f>
        <v>-1.6094379124341003</v>
      </c>
      <c r="K123" s="4">
        <f>LN(20*0.9)</f>
        <v>2.8903717578961645</v>
      </c>
      <c r="L123" s="4">
        <f>LN(9)</f>
        <v>2.1972245773362196</v>
      </c>
      <c r="O123" s="4">
        <v>0</v>
      </c>
      <c r="P123" s="4">
        <v>7</v>
      </c>
      <c r="Q123" s="4">
        <v>0.67020000000000002</v>
      </c>
      <c r="R123" s="4">
        <v>-2.853585100556101</v>
      </c>
      <c r="S123" s="4">
        <v>0.11325713705488742</v>
      </c>
      <c r="T123" s="4">
        <v>2.0103720344361298</v>
      </c>
      <c r="U123" s="4">
        <v>0.25210202220364464</v>
      </c>
      <c r="V123" s="4">
        <v>0.92086377276487996</v>
      </c>
      <c r="W123" s="4">
        <v>0.30938349903199153</v>
      </c>
      <c r="Z123" s="4">
        <v>4.9763334723292828E-2</v>
      </c>
      <c r="AA123" s="4">
        <v>0.99076169372419554</v>
      </c>
    </row>
    <row r="124" spans="1:27" x14ac:dyDescent="0.25">
      <c r="A124" s="4" t="s">
        <v>218</v>
      </c>
      <c r="B124" s="4" t="s">
        <v>42</v>
      </c>
      <c r="D124" s="4" t="s">
        <v>43</v>
      </c>
      <c r="E124" s="4" t="s">
        <v>54</v>
      </c>
      <c r="F124" s="4">
        <v>50</v>
      </c>
      <c r="H124" s="5" t="s">
        <v>277</v>
      </c>
      <c r="J124" s="4">
        <f>LN(0.2)</f>
        <v>-1.6094379124341003</v>
      </c>
      <c r="K124" s="4">
        <f>LN(20*0.9)</f>
        <v>2.8903717578961645</v>
      </c>
      <c r="L124" s="4">
        <f>LN(9)</f>
        <v>2.1972245773362196</v>
      </c>
      <c r="O124" s="4">
        <v>0</v>
      </c>
      <c r="P124" s="4">
        <v>7</v>
      </c>
      <c r="Q124" s="4">
        <v>0.67020000000000002</v>
      </c>
      <c r="R124" s="4">
        <v>-2.6649837570759116</v>
      </c>
      <c r="S124" s="4">
        <v>3.0729213630437492E-2</v>
      </c>
      <c r="T124" s="4">
        <v>2.1839663275997769</v>
      </c>
      <c r="U124" s="4">
        <v>7.2820056108845538E-2</v>
      </c>
      <c r="V124" s="4">
        <v>0.50262425156925239</v>
      </c>
      <c r="W124" s="4">
        <v>8.3303378768850481E-2</v>
      </c>
      <c r="Z124" s="4">
        <v>1.2832941840033196E-2</v>
      </c>
      <c r="AA124" s="4">
        <v>0.99912559108898646</v>
      </c>
    </row>
    <row r="125" spans="1:27" x14ac:dyDescent="0.25">
      <c r="A125" s="4" t="s">
        <v>219</v>
      </c>
      <c r="B125" s="4" t="s">
        <v>42</v>
      </c>
      <c r="D125" s="4" t="s">
        <v>43</v>
      </c>
      <c r="F125" s="4">
        <v>50</v>
      </c>
      <c r="H125" s="5" t="s">
        <v>277</v>
      </c>
      <c r="J125" s="4">
        <f>LN(0.2)</f>
        <v>-1.6094379124341003</v>
      </c>
      <c r="K125" s="4">
        <f>LN(20*0.9)</f>
        <v>2.8903717578961645</v>
      </c>
      <c r="L125" s="4">
        <f>LN(9)</f>
        <v>2.1972245773362196</v>
      </c>
      <c r="O125" s="4">
        <v>0</v>
      </c>
      <c r="P125" s="4">
        <v>4</v>
      </c>
      <c r="Q125" s="4">
        <v>0.60000000000000009</v>
      </c>
      <c r="R125" s="4">
        <v>-2.5376078380954858</v>
      </c>
      <c r="S125" s="4">
        <v>8.0984662617769571E-2</v>
      </c>
      <c r="T125" s="4">
        <v>1.4795040091747962</v>
      </c>
      <c r="U125" s="4">
        <v>0.16022772288728898</v>
      </c>
      <c r="V125" s="4">
        <v>0.94398327786672231</v>
      </c>
      <c r="W125" s="4">
        <v>0.17761524364865805</v>
      </c>
      <c r="Z125" s="4">
        <v>1.8890067097279358E-2</v>
      </c>
      <c r="AA125" s="4">
        <v>0.99878329510868025</v>
      </c>
    </row>
    <row r="126" spans="1:27" x14ac:dyDescent="0.25">
      <c r="A126" s="4" t="s">
        <v>220</v>
      </c>
      <c r="B126" s="4" t="s">
        <v>42</v>
      </c>
      <c r="D126" s="4" t="s">
        <v>43</v>
      </c>
      <c r="E126" s="4" t="s">
        <v>53</v>
      </c>
      <c r="F126" s="4">
        <v>55</v>
      </c>
      <c r="H126" s="5" t="s">
        <v>277</v>
      </c>
      <c r="J126" s="4">
        <f>LN(0.2)</f>
        <v>-1.6094379124341003</v>
      </c>
      <c r="K126" s="4">
        <f>LN(20*0.9)</f>
        <v>2.8903717578961645</v>
      </c>
      <c r="L126" s="4">
        <f>LN(9)</f>
        <v>2.1972245773362196</v>
      </c>
      <c r="O126" s="4">
        <v>0</v>
      </c>
      <c r="P126" s="4">
        <v>7</v>
      </c>
      <c r="Q126" s="4">
        <v>0.70689999999999997</v>
      </c>
      <c r="R126" s="4">
        <v>-2.999493996964226</v>
      </c>
      <c r="S126" s="4">
        <v>8.9047150709766515E-2</v>
      </c>
      <c r="T126" s="4">
        <v>1.724339270915674</v>
      </c>
      <c r="U126" s="4">
        <v>0.18127428372960228</v>
      </c>
      <c r="V126" s="4">
        <v>1.2829251617168058</v>
      </c>
      <c r="W126" s="4">
        <v>0.23515257253379504</v>
      </c>
      <c r="Z126" s="4">
        <v>4.1468276455247907E-2</v>
      </c>
      <c r="AA126" s="4">
        <v>0.99568648564953477</v>
      </c>
    </row>
    <row r="127" spans="1:27" x14ac:dyDescent="0.25">
      <c r="A127" s="4" t="s">
        <v>221</v>
      </c>
      <c r="B127" s="4" t="s">
        <v>42</v>
      </c>
      <c r="D127" s="4" t="s">
        <v>43</v>
      </c>
      <c r="E127" s="4" t="s">
        <v>54</v>
      </c>
      <c r="F127" s="4">
        <v>55</v>
      </c>
      <c r="H127" s="5" t="s">
        <v>277</v>
      </c>
      <c r="J127" s="4">
        <f>LN(0.2)</f>
        <v>-1.6094379124341003</v>
      </c>
      <c r="K127" s="4">
        <f>LN(20*0.9)</f>
        <v>2.8903717578961645</v>
      </c>
      <c r="L127" s="4">
        <f>LN(9)</f>
        <v>2.1972245773362196</v>
      </c>
      <c r="O127" s="4">
        <v>0</v>
      </c>
      <c r="P127" s="4">
        <v>7</v>
      </c>
      <c r="Q127" s="4">
        <v>0.70689999999999997</v>
      </c>
      <c r="R127" s="4">
        <v>-2.81246559233545</v>
      </c>
      <c r="S127" s="4">
        <v>8.0452493422444149E-2</v>
      </c>
      <c r="T127" s="4">
        <v>1.8091939258683367</v>
      </c>
      <c r="U127" s="4">
        <v>0.16237005916440425</v>
      </c>
      <c r="V127" s="4">
        <v>0.83600150686269203</v>
      </c>
      <c r="W127" s="4">
        <v>0.19700802120310387</v>
      </c>
      <c r="Z127" s="4">
        <v>3.4456820047294952E-2</v>
      </c>
      <c r="AA127" s="4">
        <v>0.99618959852044786</v>
      </c>
    </row>
    <row r="128" spans="1:27" x14ac:dyDescent="0.25">
      <c r="A128" s="4" t="s">
        <v>222</v>
      </c>
      <c r="B128" s="4" t="s">
        <v>42</v>
      </c>
      <c r="D128" s="4" t="s">
        <v>43</v>
      </c>
      <c r="E128" s="4" t="s">
        <v>54</v>
      </c>
      <c r="F128" s="4">
        <v>65</v>
      </c>
      <c r="H128" s="5" t="s">
        <v>277</v>
      </c>
      <c r="J128" s="4">
        <f>LN(0.2)</f>
        <v>-1.6094379124341003</v>
      </c>
      <c r="K128" s="4">
        <f>LN(20*0.9)</f>
        <v>2.8903717578961645</v>
      </c>
      <c r="L128" s="4">
        <f>LN(9)</f>
        <v>2.1972245773362196</v>
      </c>
      <c r="O128" s="4">
        <v>1</v>
      </c>
      <c r="P128" s="4">
        <v>7</v>
      </c>
      <c r="Q128" s="4">
        <v>0.77</v>
      </c>
      <c r="R128" s="4">
        <v>-2.8252737660310494</v>
      </c>
      <c r="S128" s="4">
        <v>0.19009641724002285</v>
      </c>
      <c r="T128" s="4">
        <v>1.6661479602697598</v>
      </c>
      <c r="U128" s="4">
        <v>0.27162830985471298</v>
      </c>
      <c r="V128" s="4">
        <v>0.9661159658455819</v>
      </c>
      <c r="W128" s="4">
        <v>0.51027015533311393</v>
      </c>
      <c r="Z128" s="4">
        <v>9.2639965789574119E-2</v>
      </c>
      <c r="AA128" s="4">
        <v>0.991547632705295</v>
      </c>
    </row>
    <row r="129" spans="1:27" x14ac:dyDescent="0.25">
      <c r="A129" s="4" t="s">
        <v>223</v>
      </c>
      <c r="B129" s="4" t="s">
        <v>42</v>
      </c>
      <c r="D129" s="4" t="s">
        <v>43</v>
      </c>
      <c r="F129" s="4">
        <v>70</v>
      </c>
      <c r="H129" s="5" t="s">
        <v>277</v>
      </c>
      <c r="J129" s="4">
        <f>LN(0.2)</f>
        <v>-1.6094379124341003</v>
      </c>
      <c r="K129" s="4">
        <f>LN(20*0.9)</f>
        <v>2.8903717578961645</v>
      </c>
      <c r="L129" s="4">
        <f>LN(9)</f>
        <v>2.1972245773362196</v>
      </c>
      <c r="O129" s="4">
        <v>1</v>
      </c>
      <c r="P129" s="4">
        <v>4</v>
      </c>
      <c r="Q129" s="4">
        <v>0.60000000000000009</v>
      </c>
      <c r="R129" s="4">
        <v>-2.5010480501747807</v>
      </c>
      <c r="S129" s="4">
        <v>0.1920314908119817</v>
      </c>
      <c r="T129" s="4">
        <v>1.1599908729010129</v>
      </c>
      <c r="U129" s="4">
        <v>0.31599166005940926</v>
      </c>
      <c r="V129" s="4">
        <v>0.74350230760624914</v>
      </c>
      <c r="W129" s="4">
        <v>0.37403811797090103</v>
      </c>
      <c r="Z129" s="4">
        <v>3.5039008691119679E-2</v>
      </c>
      <c r="AA129" s="4">
        <v>0.99619806502574004</v>
      </c>
    </row>
    <row r="130" spans="1:27" x14ac:dyDescent="0.25">
      <c r="A130" s="4" t="s">
        <v>224</v>
      </c>
      <c r="B130" s="4" t="s">
        <v>42</v>
      </c>
      <c r="D130" s="4" t="s">
        <v>43</v>
      </c>
      <c r="F130" s="4">
        <v>90</v>
      </c>
      <c r="H130" s="5" t="s">
        <v>277</v>
      </c>
      <c r="J130" s="4">
        <f>LN(0.2)</f>
        <v>-1.6094379124341003</v>
      </c>
      <c r="K130" s="4">
        <f>LN(20*0.9)</f>
        <v>2.8903717578961645</v>
      </c>
      <c r="L130" s="4">
        <f>LN(9)</f>
        <v>2.1972245773362196</v>
      </c>
      <c r="O130" s="4">
        <v>0</v>
      </c>
      <c r="P130" s="4">
        <v>4</v>
      </c>
      <c r="Q130" s="4">
        <v>0.60000000000000009</v>
      </c>
      <c r="R130" s="4">
        <v>-2.4162776687783603</v>
      </c>
      <c r="S130" s="4">
        <v>9.1437207007543347E-2</v>
      </c>
      <c r="T130" s="4">
        <v>0.5895732992088466</v>
      </c>
      <c r="U130" s="4">
        <v>0.11958213704289299</v>
      </c>
      <c r="V130" s="4">
        <v>0.6219240734718311</v>
      </c>
      <c r="W130" s="4">
        <v>0.14263746913004827</v>
      </c>
      <c r="Z130" s="4">
        <v>1.0525230245640905E-2</v>
      </c>
      <c r="AA130" s="4">
        <v>0.99974488221737046</v>
      </c>
    </row>
    <row r="131" spans="1:27" x14ac:dyDescent="0.25">
      <c r="A131" s="4" t="s">
        <v>225</v>
      </c>
      <c r="B131" s="4" t="s">
        <v>28</v>
      </c>
      <c r="C131" s="4" t="s">
        <v>44</v>
      </c>
      <c r="D131" s="4" t="s">
        <v>29</v>
      </c>
      <c r="E131" s="4" t="s">
        <v>54</v>
      </c>
      <c r="F131" s="4">
        <v>40</v>
      </c>
      <c r="H131" s="5" t="s">
        <v>277</v>
      </c>
      <c r="J131" s="4">
        <f>LN(0.2)</f>
        <v>-1.6094379124341003</v>
      </c>
      <c r="K131" s="4">
        <f>LN(20*0.9)</f>
        <v>2.8903717578961645</v>
      </c>
      <c r="L131" s="4">
        <f>-LN(9)</f>
        <v>-2.1972245773362196</v>
      </c>
      <c r="O131" s="4">
        <v>1</v>
      </c>
      <c r="P131" s="4">
        <v>8</v>
      </c>
      <c r="Q131" s="4">
        <v>0.58689999999999998</v>
      </c>
      <c r="R131" s="4">
        <v>-2.0012459633664501</v>
      </c>
      <c r="S131" s="4">
        <v>5.2362679809965097E-2</v>
      </c>
      <c r="T131" s="4">
        <v>1.0128158704186929</v>
      </c>
      <c r="U131" s="4">
        <v>7.0797847444207446E-2</v>
      </c>
      <c r="V131" s="4">
        <v>-9.7340190843152846E-2</v>
      </c>
      <c r="W131" s="4">
        <v>0.11314757521150785</v>
      </c>
      <c r="Z131" s="4">
        <v>7.3954191036113993E-3</v>
      </c>
      <c r="AA131" s="4">
        <v>0.9996953792614548</v>
      </c>
    </row>
    <row r="132" spans="1:27" x14ac:dyDescent="0.25">
      <c r="A132" s="4" t="s">
        <v>226</v>
      </c>
      <c r="B132" s="4" t="s">
        <v>28</v>
      </c>
      <c r="C132" s="4" t="s">
        <v>44</v>
      </c>
      <c r="D132" s="4" t="s">
        <v>29</v>
      </c>
      <c r="E132" s="4" t="s">
        <v>54</v>
      </c>
      <c r="F132" s="4">
        <v>50</v>
      </c>
      <c r="H132" s="5" t="s">
        <v>277</v>
      </c>
      <c r="J132" s="4">
        <f>LN(0.2)</f>
        <v>-1.6094379124341003</v>
      </c>
      <c r="K132" s="4">
        <f>LN(20*0.9)</f>
        <v>2.8903717578961645</v>
      </c>
      <c r="L132" s="4">
        <f>LN(9)</f>
        <v>2.1972245773362196</v>
      </c>
      <c r="O132" s="4">
        <v>0</v>
      </c>
      <c r="P132" s="4">
        <v>8</v>
      </c>
      <c r="Q132" s="4">
        <v>0.70020000000000004</v>
      </c>
      <c r="R132" s="4">
        <v>-2.336483083718313</v>
      </c>
      <c r="S132" s="4">
        <v>5.6422584729102852E-2</v>
      </c>
      <c r="T132" s="4">
        <v>1.2633158683672381</v>
      </c>
      <c r="U132" s="4">
        <v>8.8329307324705245E-2</v>
      </c>
      <c r="V132" s="4">
        <v>0.43705450075183283</v>
      </c>
      <c r="W132" s="4">
        <v>0.11459868675796155</v>
      </c>
      <c r="Z132" s="4">
        <v>1.5800258669971489E-2</v>
      </c>
      <c r="AA132" s="4">
        <v>0.99916205559099103</v>
      </c>
    </row>
    <row r="133" spans="1:27" x14ac:dyDescent="0.25">
      <c r="A133" s="4" t="s">
        <v>227</v>
      </c>
      <c r="B133" s="4" t="s">
        <v>28</v>
      </c>
      <c r="C133" s="4" t="s">
        <v>44</v>
      </c>
      <c r="D133" s="4" t="s">
        <v>29</v>
      </c>
      <c r="E133" s="4" t="s">
        <v>54</v>
      </c>
      <c r="F133" s="4">
        <v>60</v>
      </c>
      <c r="H133" s="5" t="s">
        <v>277</v>
      </c>
      <c r="J133" s="4">
        <f>LN(0.2)</f>
        <v>-1.6094379124341003</v>
      </c>
      <c r="K133" s="4">
        <f>LN(20*0.9)</f>
        <v>2.8903717578961645</v>
      </c>
      <c r="L133" s="4">
        <f>LN(9)</f>
        <v>2.1972245773362196</v>
      </c>
      <c r="O133" s="4">
        <v>1</v>
      </c>
      <c r="P133" s="4">
        <v>8</v>
      </c>
      <c r="Q133" s="4">
        <v>0.64280000000000004</v>
      </c>
      <c r="R133" s="4">
        <v>-2.1486873276415812</v>
      </c>
      <c r="S133" s="4">
        <v>0.22633365776634412</v>
      </c>
      <c r="T133" s="4">
        <v>0.74811403253817399</v>
      </c>
      <c r="U133" s="4">
        <v>0.31185419518170343</v>
      </c>
      <c r="V133" s="4">
        <v>0.12294135902635159</v>
      </c>
      <c r="W133" s="4">
        <v>0.35995199439850417</v>
      </c>
      <c r="Z133" s="4">
        <v>3.1075941322196467E-2</v>
      </c>
      <c r="AA133" s="4">
        <v>0.99561889035187201</v>
      </c>
    </row>
    <row r="134" spans="1:27" x14ac:dyDescent="0.25">
      <c r="A134" s="4" t="s">
        <v>228</v>
      </c>
      <c r="B134" s="4" t="s">
        <v>28</v>
      </c>
      <c r="C134" s="4" t="s">
        <v>44</v>
      </c>
      <c r="D134" s="4" t="s">
        <v>29</v>
      </c>
      <c r="E134" s="4" t="s">
        <v>54</v>
      </c>
      <c r="F134" s="4">
        <v>70</v>
      </c>
      <c r="H134" s="5" t="s">
        <v>277</v>
      </c>
      <c r="J134" s="4">
        <f>LN(0.2)</f>
        <v>-1.6094379124341003</v>
      </c>
      <c r="K134" s="4">
        <f>LN(20*0.9)</f>
        <v>2.8903717578961645</v>
      </c>
      <c r="L134" s="4">
        <f>LN(9)</f>
        <v>2.1972245773362196</v>
      </c>
      <c r="O134" s="4">
        <v>1</v>
      </c>
      <c r="P134" s="4">
        <v>9</v>
      </c>
      <c r="Q134" s="4">
        <v>0.66420000000000001</v>
      </c>
      <c r="R134" s="4">
        <v>-2.0359648272212292</v>
      </c>
      <c r="S134" s="4">
        <v>0.31525999306292296</v>
      </c>
      <c r="T134" s="4">
        <v>0.3947585014217892</v>
      </c>
      <c r="U134" s="4">
        <v>0.38521656192058329</v>
      </c>
      <c r="V134" s="4">
        <v>1.6157456553022878E-2</v>
      </c>
      <c r="W134" s="4">
        <v>0.44116294315419835</v>
      </c>
      <c r="Z134" s="4">
        <v>3.4165706286399609E-2</v>
      </c>
      <c r="AA134" s="4">
        <v>0.99545227600311437</v>
      </c>
    </row>
    <row r="135" spans="1:27" x14ac:dyDescent="0.25">
      <c r="A135" s="4" t="s">
        <v>229</v>
      </c>
      <c r="B135" s="4" t="s">
        <v>28</v>
      </c>
      <c r="C135" s="4" t="s">
        <v>44</v>
      </c>
      <c r="D135" s="4" t="s">
        <v>29</v>
      </c>
      <c r="E135" s="4" t="s">
        <v>54</v>
      </c>
      <c r="F135" s="4">
        <v>80</v>
      </c>
      <c r="H135" s="5" t="s">
        <v>277</v>
      </c>
      <c r="J135" s="4">
        <f>LN(0.2)</f>
        <v>-1.6094379124341003</v>
      </c>
      <c r="K135" s="4">
        <f>LN(20*0.9)</f>
        <v>2.8903717578961645</v>
      </c>
      <c r="L135" s="4">
        <f>LN(9)</f>
        <v>2.1972245773362196</v>
      </c>
      <c r="O135" s="4">
        <v>2</v>
      </c>
      <c r="P135" s="4">
        <v>9</v>
      </c>
      <c r="Q135" s="4">
        <v>0.65529999999999999</v>
      </c>
      <c r="R135" s="4">
        <v>-1.9393051495381546</v>
      </c>
      <c r="S135" s="4">
        <v>0.44104382427302169</v>
      </c>
      <c r="T135" s="4">
        <v>0.12575822139274986</v>
      </c>
      <c r="U135" s="4">
        <v>0.50512483695177435</v>
      </c>
      <c r="V135" s="4">
        <v>1.5355756001807865E-2</v>
      </c>
      <c r="W135" s="4">
        <v>0.54092495149295783</v>
      </c>
      <c r="Z135" s="4">
        <v>3.5123341331439233E-2</v>
      </c>
      <c r="AA135" s="4">
        <v>0.99559168924708374</v>
      </c>
    </row>
    <row r="136" spans="1:27" x14ac:dyDescent="0.25">
      <c r="A136" s="4" t="s">
        <v>230</v>
      </c>
      <c r="B136" s="4" t="s">
        <v>45</v>
      </c>
      <c r="D136" s="4" t="s">
        <v>46</v>
      </c>
      <c r="E136" s="4" t="s">
        <v>53</v>
      </c>
      <c r="F136" s="4">
        <v>20</v>
      </c>
      <c r="H136" s="5" t="s">
        <v>277</v>
      </c>
      <c r="J136" s="4">
        <f>LN(0.2)</f>
        <v>-1.6094379124341003</v>
      </c>
      <c r="K136" s="4">
        <f>LN(20*0.9)</f>
        <v>2.8903717578961645</v>
      </c>
      <c r="L136" s="4">
        <f>LN(9)</f>
        <v>2.1972245773362196</v>
      </c>
      <c r="O136" s="4">
        <v>0</v>
      </c>
      <c r="P136" s="4">
        <v>10</v>
      </c>
      <c r="Q136" s="4">
        <v>0.88</v>
      </c>
      <c r="R136" s="4">
        <v>-2.6001879087023911</v>
      </c>
      <c r="S136" s="4">
        <v>3.3315390013242949E-2</v>
      </c>
      <c r="T136" s="4">
        <v>3.1257406177184999</v>
      </c>
      <c r="U136" s="4">
        <v>0.18386056063116213</v>
      </c>
      <c r="V136" s="4">
        <v>0.84639574181368216</v>
      </c>
      <c r="W136" s="4">
        <v>7.5116270563080872E-2</v>
      </c>
      <c r="Z136" s="4">
        <v>3.3566241080698778E-2</v>
      </c>
      <c r="AA136" s="4">
        <v>0.9943810967784632</v>
      </c>
    </row>
    <row r="137" spans="1:27" x14ac:dyDescent="0.25">
      <c r="A137" s="4" t="s">
        <v>231</v>
      </c>
      <c r="B137" s="4" t="s">
        <v>45</v>
      </c>
      <c r="D137" s="4" t="s">
        <v>46</v>
      </c>
      <c r="E137" s="4" t="s">
        <v>53</v>
      </c>
      <c r="F137" s="4">
        <v>25</v>
      </c>
      <c r="H137" s="5" t="s">
        <v>277</v>
      </c>
      <c r="J137" s="4">
        <f>LN(0.2)</f>
        <v>-1.6094379124341003</v>
      </c>
      <c r="K137" s="4">
        <f>LN(20*0.9)</f>
        <v>2.8903717578961645</v>
      </c>
      <c r="L137" s="4">
        <f>LN(9)</f>
        <v>2.1972245773362196</v>
      </c>
      <c r="O137" s="4">
        <v>0</v>
      </c>
      <c r="P137" s="4">
        <v>10</v>
      </c>
      <c r="Q137" s="4">
        <v>0.88</v>
      </c>
      <c r="R137" s="4">
        <v>-2.6217897274652779</v>
      </c>
      <c r="S137" s="4">
        <v>7.1124961922912941E-2</v>
      </c>
      <c r="T137" s="4">
        <v>2.9912408622209044</v>
      </c>
      <c r="U137" s="4">
        <v>0.35304185025890122</v>
      </c>
      <c r="V137" s="4">
        <v>0.82804243526673704</v>
      </c>
      <c r="W137" s="4">
        <v>0.15891416933344968</v>
      </c>
      <c r="Z137" s="4">
        <v>6.9894964381616992E-2</v>
      </c>
      <c r="AA137" s="4">
        <v>0.97654354100662522</v>
      </c>
    </row>
    <row r="138" spans="1:27" x14ac:dyDescent="0.25">
      <c r="A138" s="4" t="s">
        <v>232</v>
      </c>
      <c r="B138" s="4" t="s">
        <v>45</v>
      </c>
      <c r="D138" s="4" t="s">
        <v>46</v>
      </c>
      <c r="E138" s="4" t="s">
        <v>53</v>
      </c>
      <c r="F138" s="4">
        <v>40</v>
      </c>
      <c r="H138" s="5" t="s">
        <v>277</v>
      </c>
      <c r="J138" s="4">
        <f>LN(0.2)</f>
        <v>-1.6094379124341003</v>
      </c>
      <c r="K138" s="4">
        <f>LN(20*0.9)</f>
        <v>2.8903717578961645</v>
      </c>
      <c r="L138" s="4">
        <f>LN(9)</f>
        <v>2.1972245773362196</v>
      </c>
      <c r="O138" s="4">
        <v>0</v>
      </c>
      <c r="P138" s="4">
        <v>10</v>
      </c>
      <c r="Q138" s="4">
        <v>0.88</v>
      </c>
      <c r="R138" s="4">
        <v>-2.6984263118635372</v>
      </c>
      <c r="S138" s="4">
        <v>3.2927735478878006E-2</v>
      </c>
      <c r="T138" s="4">
        <v>2.4293459606295982</v>
      </c>
      <c r="U138" s="4">
        <v>0.1125225601749824</v>
      </c>
      <c r="V138" s="4">
        <v>0.96990045055250906</v>
      </c>
      <c r="W138" s="4">
        <v>6.9116623279120368E-2</v>
      </c>
      <c r="Z138" s="4">
        <v>3.0544849095304007E-2</v>
      </c>
      <c r="AA138" s="4">
        <v>0.99682031118571346</v>
      </c>
    </row>
    <row r="139" spans="1:27" x14ac:dyDescent="0.25">
      <c r="A139" s="4" t="s">
        <v>233</v>
      </c>
      <c r="B139" s="4" t="s">
        <v>45</v>
      </c>
      <c r="D139" s="4" t="s">
        <v>46</v>
      </c>
      <c r="E139" s="4" t="s">
        <v>54</v>
      </c>
      <c r="F139" s="4">
        <v>20</v>
      </c>
      <c r="H139" s="5" t="s">
        <v>277</v>
      </c>
      <c r="J139" s="4">
        <f>LN(0.2)</f>
        <v>-1.6094379124341003</v>
      </c>
      <c r="K139" s="4">
        <f>LN(20*0.9)</f>
        <v>2.8903717578961645</v>
      </c>
      <c r="L139" s="4">
        <f>LN(9)</f>
        <v>2.1972245773362196</v>
      </c>
      <c r="O139" s="4">
        <v>0</v>
      </c>
      <c r="P139" s="4">
        <v>10</v>
      </c>
      <c r="Q139" s="4">
        <v>0.88</v>
      </c>
      <c r="R139" s="4">
        <v>-2.3061519053031518</v>
      </c>
      <c r="S139" s="4">
        <v>6.6981421343360908E-2</v>
      </c>
      <c r="T139" s="4">
        <v>2.7535043813851083</v>
      </c>
      <c r="U139" s="4">
        <v>0.25893298156573435</v>
      </c>
      <c r="V139" s="4">
        <v>0.36698869485233715</v>
      </c>
      <c r="W139" s="4">
        <v>0.15553675541544101</v>
      </c>
      <c r="Z139" s="4">
        <v>5.4291352998267345E-2</v>
      </c>
      <c r="AA139" s="4">
        <v>0.98093686414595704</v>
      </c>
    </row>
    <row r="140" spans="1:27" x14ac:dyDescent="0.25">
      <c r="A140" s="4" t="s">
        <v>234</v>
      </c>
      <c r="B140" s="4" t="s">
        <v>45</v>
      </c>
      <c r="D140" s="4" t="s">
        <v>46</v>
      </c>
      <c r="E140" s="4" t="s">
        <v>54</v>
      </c>
      <c r="F140" s="4">
        <v>25</v>
      </c>
      <c r="H140" s="5" t="s">
        <v>277</v>
      </c>
      <c r="J140" s="4">
        <f>LN(0.2)</f>
        <v>-1.6094379124341003</v>
      </c>
      <c r="K140" s="4">
        <f>LN(20*0.9)</f>
        <v>2.8903717578961645</v>
      </c>
      <c r="L140" s="4">
        <f>LN(9)</f>
        <v>2.1972245773362196</v>
      </c>
      <c r="O140" s="4">
        <v>0</v>
      </c>
      <c r="P140" s="4">
        <v>10</v>
      </c>
      <c r="Q140" s="4">
        <v>0.88</v>
      </c>
      <c r="R140" s="4">
        <v>-2.3403744127700605</v>
      </c>
      <c r="S140" s="4">
        <v>5.5159336999480266E-2</v>
      </c>
      <c r="T140" s="4">
        <v>2.6718257935111458</v>
      </c>
      <c r="U140" s="4">
        <v>0.20349257827470882</v>
      </c>
      <c r="V140" s="4">
        <v>0.43578268165384754</v>
      </c>
      <c r="W140" s="4">
        <v>0.12527499839647072</v>
      </c>
      <c r="Z140" s="4">
        <v>4.4946147002813588E-2</v>
      </c>
      <c r="AA140" s="4">
        <v>0.98813789445831723</v>
      </c>
    </row>
    <row r="141" spans="1:27" s="7" customFormat="1" x14ac:dyDescent="0.25">
      <c r="A141" s="7" t="s">
        <v>235</v>
      </c>
      <c r="B141" s="7" t="s">
        <v>45</v>
      </c>
      <c r="D141" s="7" t="s">
        <v>46</v>
      </c>
      <c r="E141" s="7" t="s">
        <v>54</v>
      </c>
      <c r="F141" s="7">
        <v>40</v>
      </c>
      <c r="H141" s="5" t="s">
        <v>277</v>
      </c>
      <c r="J141" s="4">
        <f>LN(0.2)</f>
        <v>-1.6094379124341003</v>
      </c>
      <c r="K141" s="4">
        <f>LN(20*0.9)</f>
        <v>2.8903717578961645</v>
      </c>
      <c r="L141" s="4">
        <f>LN(9)</f>
        <v>2.1972245773362196</v>
      </c>
      <c r="N141" s="9"/>
      <c r="O141" s="7">
        <v>0</v>
      </c>
      <c r="P141" s="7">
        <v>10</v>
      </c>
      <c r="Q141" s="7">
        <v>0.88</v>
      </c>
      <c r="R141" s="7">
        <v>-2.3609116211090164</v>
      </c>
      <c r="S141" s="7">
        <v>5.611445749749034E-2</v>
      </c>
      <c r="T141" s="7">
        <v>2.3590483378131997</v>
      </c>
      <c r="U141" s="7">
        <v>0.1689638204709083</v>
      </c>
      <c r="V141" s="7">
        <v>0.47635729220052936</v>
      </c>
      <c r="W141" s="7">
        <v>0.12156291018384362</v>
      </c>
      <c r="Z141" s="7">
        <v>4.2932304269402623E-2</v>
      </c>
      <c r="AA141" s="7">
        <v>0.99116036524826479</v>
      </c>
    </row>
    <row r="142" spans="1:27" x14ac:dyDescent="0.25">
      <c r="A142" s="4" t="s">
        <v>236</v>
      </c>
      <c r="B142" s="4" t="s">
        <v>28</v>
      </c>
      <c r="D142" s="4" t="s">
        <v>46</v>
      </c>
      <c r="F142" s="4">
        <v>40</v>
      </c>
      <c r="H142" s="5" t="s">
        <v>277</v>
      </c>
      <c r="J142" s="4">
        <f>LN(0.2)</f>
        <v>-1.6094379124341003</v>
      </c>
      <c r="K142" s="4">
        <f>LN(20*0.9)</f>
        <v>2.8903717578961645</v>
      </c>
      <c r="L142" s="4">
        <f>LN(9)</f>
        <v>2.1972245773362196</v>
      </c>
      <c r="O142" s="4">
        <v>0</v>
      </c>
      <c r="P142" s="4">
        <v>8</v>
      </c>
      <c r="Q142" s="4">
        <v>0.62000000000000011</v>
      </c>
      <c r="R142" s="4">
        <v>-2.4894205849559565</v>
      </c>
      <c r="S142" s="4">
        <v>0.12407822266938279</v>
      </c>
      <c r="T142" s="4">
        <v>2.1414462219276094</v>
      </c>
      <c r="U142" s="4">
        <v>0.36037598310281954</v>
      </c>
      <c r="V142" s="4">
        <v>0.73916699733777658</v>
      </c>
      <c r="W142" s="4">
        <v>0.30059062561540856</v>
      </c>
      <c r="Z142" s="4">
        <v>4.1184257631383586E-2</v>
      </c>
      <c r="AA142" s="4">
        <v>0.98867306579572345</v>
      </c>
    </row>
    <row r="143" spans="1:27" x14ac:dyDescent="0.25">
      <c r="A143" s="4" t="s">
        <v>237</v>
      </c>
      <c r="B143" s="4" t="s">
        <v>28</v>
      </c>
      <c r="D143" s="4" t="s">
        <v>46</v>
      </c>
      <c r="F143" s="4">
        <v>50</v>
      </c>
      <c r="H143" s="5" t="s">
        <v>277</v>
      </c>
      <c r="J143" s="4">
        <f>LN(0.2)</f>
        <v>-1.6094379124341003</v>
      </c>
      <c r="K143" s="4">
        <f>LN(20*0.9)</f>
        <v>2.8903717578961645</v>
      </c>
      <c r="L143" s="4">
        <f>LN(9)</f>
        <v>2.1972245773362196</v>
      </c>
      <c r="O143" s="4">
        <v>0</v>
      </c>
      <c r="P143" s="4">
        <v>6</v>
      </c>
      <c r="Q143" s="4">
        <v>0.71</v>
      </c>
      <c r="R143" s="4">
        <v>-2.4400396671453564</v>
      </c>
      <c r="S143" s="4">
        <v>7.683610384388001E-2</v>
      </c>
      <c r="T143" s="4">
        <v>1.5544898791752004</v>
      </c>
      <c r="U143" s="4">
        <v>0.12712692804206571</v>
      </c>
      <c r="V143" s="4">
        <v>0.35904358091895477</v>
      </c>
      <c r="W143" s="4">
        <v>0.17552093099336649</v>
      </c>
      <c r="Z143" s="4">
        <v>2.3398912535835526E-2</v>
      </c>
      <c r="AA143" s="4">
        <v>0.99821946212175339</v>
      </c>
    </row>
    <row r="144" spans="1:27" x14ac:dyDescent="0.25">
      <c r="A144" s="4" t="s">
        <v>238</v>
      </c>
      <c r="B144" s="4" t="s">
        <v>28</v>
      </c>
      <c r="D144" s="4" t="s">
        <v>46</v>
      </c>
      <c r="F144" s="4">
        <v>60</v>
      </c>
      <c r="H144" s="5" t="s">
        <v>277</v>
      </c>
      <c r="J144" s="4">
        <f>LN(0.2)</f>
        <v>-1.6094379124341003</v>
      </c>
      <c r="K144" s="4">
        <f>LN(20*0.9)</f>
        <v>2.8903717578961645</v>
      </c>
      <c r="L144" s="4">
        <f>LN(9)</f>
        <v>2.1972245773362196</v>
      </c>
      <c r="O144" s="4">
        <v>0</v>
      </c>
      <c r="P144" s="4">
        <v>10</v>
      </c>
      <c r="Q144" s="4">
        <v>0.77</v>
      </c>
      <c r="R144" s="4">
        <v>-2.8691737439259648</v>
      </c>
      <c r="S144" s="4">
        <v>4.3667038761512629E-2</v>
      </c>
      <c r="T144" s="4">
        <v>1.9180117768227503</v>
      </c>
      <c r="U144" s="4">
        <v>7.7468503271073366E-2</v>
      </c>
      <c r="V144" s="4">
        <v>0.92025952217058127</v>
      </c>
      <c r="W144" s="4">
        <v>0.12598423993032137</v>
      </c>
      <c r="Z144" s="4">
        <v>2.8655133025182543E-2</v>
      </c>
      <c r="AA144" s="4">
        <v>0.99831144963644403</v>
      </c>
    </row>
    <row r="145" spans="1:27" x14ac:dyDescent="0.25">
      <c r="A145" s="4" t="s">
        <v>239</v>
      </c>
      <c r="B145" s="4" t="s">
        <v>28</v>
      </c>
      <c r="D145" s="4" t="s">
        <v>46</v>
      </c>
      <c r="F145" s="4">
        <v>70</v>
      </c>
      <c r="H145" s="5" t="s">
        <v>277</v>
      </c>
      <c r="J145" s="4">
        <f>LN(0.2)</f>
        <v>-1.6094379124341003</v>
      </c>
      <c r="K145" s="4">
        <f>LN(20*0.9)</f>
        <v>2.8903717578961645</v>
      </c>
      <c r="L145" s="4">
        <f>LN(9)</f>
        <v>2.1972245773362196</v>
      </c>
      <c r="O145" s="4">
        <v>1</v>
      </c>
      <c r="P145" s="4">
        <v>8</v>
      </c>
      <c r="Q145" s="4">
        <v>0.63</v>
      </c>
      <c r="R145" s="4">
        <v>-3.0760549914698196</v>
      </c>
      <c r="S145" s="4">
        <v>0.27237208518348849</v>
      </c>
      <c r="T145" s="4">
        <v>1.5745683924521279</v>
      </c>
      <c r="U145" s="4">
        <v>0.53119320090714661</v>
      </c>
      <c r="V145" s="4">
        <v>1.1318579563051441</v>
      </c>
      <c r="W145" s="4">
        <v>0.65856439010130929</v>
      </c>
      <c r="Z145" s="4">
        <v>8.345867038640753E-2</v>
      </c>
      <c r="AA145" s="4">
        <v>0.97776773970981345</v>
      </c>
    </row>
    <row r="146" spans="1:27" x14ac:dyDescent="0.25">
      <c r="A146" s="4" t="s">
        <v>240</v>
      </c>
      <c r="B146" s="4" t="s">
        <v>35</v>
      </c>
      <c r="D146" s="4" t="s">
        <v>46</v>
      </c>
      <c r="F146" s="4">
        <v>45</v>
      </c>
      <c r="H146" s="5" t="s">
        <v>277</v>
      </c>
      <c r="J146" s="4">
        <f>LN(0.2)</f>
        <v>-1.6094379124341003</v>
      </c>
      <c r="K146" s="4">
        <f>LN(20*0.9)</f>
        <v>2.8903717578961645</v>
      </c>
      <c r="L146" s="4">
        <f>LN(9)</f>
        <v>2.1972245773362196</v>
      </c>
      <c r="O146" s="4">
        <v>0</v>
      </c>
      <c r="P146" s="4">
        <v>6</v>
      </c>
      <c r="Q146" s="4">
        <v>0.73</v>
      </c>
      <c r="R146" s="4">
        <v>-2.3020180928274034</v>
      </c>
      <c r="S146" s="4">
        <v>5.9414413665433222E-2</v>
      </c>
      <c r="T146" s="4">
        <v>2.9181883633425527</v>
      </c>
      <c r="U146" s="4">
        <v>0.2147349067903607</v>
      </c>
      <c r="V146" s="4">
        <v>0.39447829997270778</v>
      </c>
      <c r="W146" s="4">
        <v>0.17804186250581822</v>
      </c>
      <c r="Z146" s="4">
        <v>3.2640578921625814E-2</v>
      </c>
      <c r="AA146" s="4">
        <v>0.99183538209610278</v>
      </c>
    </row>
    <row r="147" spans="1:27" x14ac:dyDescent="0.25">
      <c r="A147" s="4" t="s">
        <v>241</v>
      </c>
      <c r="B147" s="4" t="s">
        <v>35</v>
      </c>
      <c r="D147" s="4" t="s">
        <v>46</v>
      </c>
      <c r="F147" s="4">
        <v>60</v>
      </c>
      <c r="H147" s="5" t="s">
        <v>277</v>
      </c>
      <c r="J147" s="4">
        <f>LN(0.2)</f>
        <v>-1.6094379124341003</v>
      </c>
      <c r="K147" s="4">
        <f>LN(20*0.9)</f>
        <v>2.8903717578961645</v>
      </c>
      <c r="L147" s="4">
        <f>LN(9)</f>
        <v>2.1972245773362196</v>
      </c>
      <c r="O147" s="4">
        <v>0</v>
      </c>
      <c r="P147" s="4">
        <v>12</v>
      </c>
      <c r="Q147" s="4">
        <v>0.8</v>
      </c>
      <c r="R147" s="4">
        <v>-3.0119967812250326</v>
      </c>
      <c r="S147" s="4">
        <v>4.135557230286644E-2</v>
      </c>
      <c r="T147" s="4">
        <v>2.3788958233077251</v>
      </c>
      <c r="U147" s="4">
        <v>0.11313848450719236</v>
      </c>
      <c r="V147" s="4">
        <v>2.4047918287226353</v>
      </c>
      <c r="W147" s="4">
        <v>0.19688360986803694</v>
      </c>
      <c r="Z147" s="4">
        <v>4.7099881124787447E-2</v>
      </c>
      <c r="AA147" s="4">
        <v>0.99613773288938279</v>
      </c>
    </row>
    <row r="148" spans="1:27" x14ac:dyDescent="0.25">
      <c r="A148" s="4" t="s">
        <v>242</v>
      </c>
      <c r="B148" s="4" t="s">
        <v>47</v>
      </c>
      <c r="D148" s="4" t="s">
        <v>46</v>
      </c>
      <c r="E148" s="4" t="s">
        <v>53</v>
      </c>
      <c r="F148" s="4">
        <v>20</v>
      </c>
      <c r="H148" s="5" t="s">
        <v>277</v>
      </c>
      <c r="J148" s="4">
        <f>LN(0.2)</f>
        <v>-1.6094379124341003</v>
      </c>
      <c r="K148" s="4">
        <f>LN(20*0.9)</f>
        <v>2.8903717578961645</v>
      </c>
      <c r="L148" s="4">
        <f>LN(9)</f>
        <v>2.1972245773362196</v>
      </c>
      <c r="O148" s="4">
        <v>0</v>
      </c>
      <c r="P148" s="4">
        <v>10</v>
      </c>
      <c r="Q148" s="4">
        <v>0.88</v>
      </c>
      <c r="R148" s="4">
        <v>-2.5601651339621951</v>
      </c>
      <c r="S148" s="4">
        <v>5.4218079416985074E-2</v>
      </c>
      <c r="T148" s="4">
        <v>3.2168753238955112</v>
      </c>
      <c r="U148" s="4">
        <v>0.31407882306517781</v>
      </c>
      <c r="V148" s="4">
        <v>0.70986033892328237</v>
      </c>
      <c r="W148" s="4">
        <v>0.12445015214416694</v>
      </c>
      <c r="Z148" s="4">
        <v>5.2956011395377693E-2</v>
      </c>
      <c r="AA148" s="4">
        <v>0.98373685959056001</v>
      </c>
    </row>
    <row r="149" spans="1:27" x14ac:dyDescent="0.25">
      <c r="A149" s="4" t="s">
        <v>243</v>
      </c>
      <c r="B149" s="4" t="s">
        <v>47</v>
      </c>
      <c r="D149" s="4" t="s">
        <v>46</v>
      </c>
      <c r="E149" s="4" t="s">
        <v>53</v>
      </c>
      <c r="F149" s="4">
        <v>25</v>
      </c>
      <c r="H149" s="5" t="s">
        <v>277</v>
      </c>
      <c r="J149" s="4">
        <f>LN(0.2)</f>
        <v>-1.6094379124341003</v>
      </c>
      <c r="K149" s="4">
        <f>LN(20*0.9)</f>
        <v>2.8903717578961645</v>
      </c>
      <c r="L149" s="4">
        <f>LN(9)</f>
        <v>2.1972245773362196</v>
      </c>
      <c r="O149" s="4">
        <v>0</v>
      </c>
      <c r="P149" s="4">
        <v>10</v>
      </c>
      <c r="Q149" s="4">
        <v>0.88</v>
      </c>
      <c r="R149" s="4">
        <v>-2.5958422739638731</v>
      </c>
      <c r="S149" s="4">
        <v>4.7753985904913865E-2</v>
      </c>
      <c r="T149" s="4">
        <v>3.0943571179988654</v>
      </c>
      <c r="U149" s="4">
        <v>0.25460549887578537</v>
      </c>
      <c r="V149" s="4">
        <v>0.78530378090278097</v>
      </c>
      <c r="W149" s="4">
        <v>0.10789512512064152</v>
      </c>
      <c r="Z149" s="4">
        <v>4.6989284294710616E-2</v>
      </c>
      <c r="AA149" s="4">
        <v>0.98853561676639246</v>
      </c>
    </row>
    <row r="150" spans="1:27" x14ac:dyDescent="0.25">
      <c r="A150" s="4" t="s">
        <v>244</v>
      </c>
      <c r="B150" s="4" t="s">
        <v>47</v>
      </c>
      <c r="D150" s="4" t="s">
        <v>46</v>
      </c>
      <c r="E150" s="4" t="s">
        <v>53</v>
      </c>
      <c r="F150" s="4">
        <v>40</v>
      </c>
      <c r="H150" s="5" t="s">
        <v>277</v>
      </c>
      <c r="J150" s="4">
        <f>LN(0.2)</f>
        <v>-1.6094379124341003</v>
      </c>
      <c r="K150" s="4">
        <f>LN(20*0.9)</f>
        <v>2.8903717578961645</v>
      </c>
      <c r="L150" s="4">
        <f>LN(9)</f>
        <v>2.1972245773362196</v>
      </c>
      <c r="O150" s="4">
        <v>0</v>
      </c>
      <c r="P150" s="4">
        <v>10</v>
      </c>
      <c r="Q150" s="4">
        <v>0.88</v>
      </c>
      <c r="R150" s="4">
        <v>-2.6296067839768047</v>
      </c>
      <c r="S150" s="4">
        <v>5.5040730482360745E-2</v>
      </c>
      <c r="T150" s="4">
        <v>2.3204793084816098</v>
      </c>
      <c r="U150" s="4">
        <v>0.17141185063987877</v>
      </c>
      <c r="V150" s="4">
        <v>0.83510815697570473</v>
      </c>
      <c r="W150" s="4">
        <v>0.11438545230830231</v>
      </c>
      <c r="Z150" s="4">
        <v>4.7406602247087475E-2</v>
      </c>
      <c r="AA150" s="4">
        <v>0.99198162178103144</v>
      </c>
    </row>
    <row r="151" spans="1:27" x14ac:dyDescent="0.25">
      <c r="A151" s="4" t="s">
        <v>245</v>
      </c>
      <c r="B151" s="4" t="s">
        <v>47</v>
      </c>
      <c r="D151" s="4" t="s">
        <v>46</v>
      </c>
      <c r="E151" s="4" t="s">
        <v>54</v>
      </c>
      <c r="F151" s="4">
        <v>20</v>
      </c>
      <c r="H151" s="5" t="s">
        <v>277</v>
      </c>
      <c r="J151" s="4">
        <f>LN(0.2)</f>
        <v>-1.6094379124341003</v>
      </c>
      <c r="K151" s="4">
        <f>LN(20*0.9)</f>
        <v>2.8903717578961645</v>
      </c>
      <c r="L151" s="4">
        <f>LN(9)</f>
        <v>2.1972245773362196</v>
      </c>
      <c r="O151" s="4">
        <v>0</v>
      </c>
      <c r="P151" s="4">
        <v>10</v>
      </c>
      <c r="Q151" s="4">
        <v>0.88</v>
      </c>
      <c r="R151" s="4">
        <v>-2.3206434961257689</v>
      </c>
      <c r="S151" s="4">
        <v>6.6139593007457212E-2</v>
      </c>
      <c r="T151" s="4">
        <v>2.8197420855736377</v>
      </c>
      <c r="U151" s="4">
        <v>0.26937736594054995</v>
      </c>
      <c r="V151" s="4">
        <v>0.39597438959490372</v>
      </c>
      <c r="W151" s="4">
        <v>0.15378310834896874</v>
      </c>
      <c r="Z151" s="4">
        <v>5.4844832665468982E-2</v>
      </c>
      <c r="AA151" s="4">
        <v>0.98040109819028154</v>
      </c>
    </row>
    <row r="152" spans="1:27" x14ac:dyDescent="0.25">
      <c r="A152" s="4" t="s">
        <v>246</v>
      </c>
      <c r="B152" s="4" t="s">
        <v>47</v>
      </c>
      <c r="D152" s="4" t="s">
        <v>46</v>
      </c>
      <c r="E152" s="4" t="s">
        <v>54</v>
      </c>
      <c r="F152" s="4">
        <v>25</v>
      </c>
      <c r="H152" s="5" t="s">
        <v>277</v>
      </c>
      <c r="J152" s="4">
        <f>LN(0.2)</f>
        <v>-1.6094379124341003</v>
      </c>
      <c r="K152" s="4">
        <f>LN(20*0.9)</f>
        <v>2.8903717578961645</v>
      </c>
      <c r="L152" s="4">
        <f>LN(9)</f>
        <v>2.1972245773362196</v>
      </c>
      <c r="O152" s="4">
        <v>0</v>
      </c>
      <c r="P152" s="4">
        <v>10</v>
      </c>
      <c r="Q152" s="4">
        <v>0.88</v>
      </c>
      <c r="R152" s="4">
        <v>-2.3424267730924297</v>
      </c>
      <c r="S152" s="4">
        <v>6.8808182230264164E-2</v>
      </c>
      <c r="T152" s="4">
        <v>2.8179557772194559</v>
      </c>
      <c r="U152" s="4">
        <v>0.2818699150523315</v>
      </c>
      <c r="V152" s="4">
        <v>0.44034034820423484</v>
      </c>
      <c r="W152" s="4">
        <v>0.15864120404172866</v>
      </c>
      <c r="Z152" s="4">
        <v>5.7866110270903291E-2</v>
      </c>
      <c r="AA152" s="4">
        <v>0.97908435218168532</v>
      </c>
    </row>
    <row r="153" spans="1:27" x14ac:dyDescent="0.25">
      <c r="A153" s="4" t="s">
        <v>247</v>
      </c>
      <c r="B153" s="4" t="s">
        <v>47</v>
      </c>
      <c r="D153" s="4" t="s">
        <v>46</v>
      </c>
      <c r="E153" s="4" t="s">
        <v>54</v>
      </c>
      <c r="F153" s="4">
        <v>40</v>
      </c>
      <c r="H153" s="5" t="s">
        <v>277</v>
      </c>
      <c r="J153" s="4">
        <f>LN(0.2)</f>
        <v>-1.6094379124341003</v>
      </c>
      <c r="K153" s="4">
        <f>LN(20*0.9)</f>
        <v>2.8903717578961645</v>
      </c>
      <c r="L153" s="4">
        <f>LN(9)</f>
        <v>2.1972245773362196</v>
      </c>
      <c r="O153" s="4">
        <v>0</v>
      </c>
      <c r="P153" s="4">
        <v>10</v>
      </c>
      <c r="Q153" s="4">
        <v>0.88</v>
      </c>
      <c r="R153" s="4">
        <v>-2.3692019721107194</v>
      </c>
      <c r="S153" s="4">
        <v>5.3672056054267468E-2</v>
      </c>
      <c r="T153" s="4">
        <v>2.4669093388115977</v>
      </c>
      <c r="U153" s="4">
        <v>0.17306978511803087</v>
      </c>
      <c r="V153" s="4">
        <v>0.46562483065716775</v>
      </c>
      <c r="W153" s="4">
        <v>0.1182338503019002</v>
      </c>
      <c r="Z153" s="4">
        <v>4.2094335644902718E-2</v>
      </c>
      <c r="AA153" s="4">
        <v>0.9908927052167219</v>
      </c>
    </row>
    <row r="154" spans="1:27" x14ac:dyDescent="0.25">
      <c r="A154" s="4" t="s">
        <v>248</v>
      </c>
      <c r="B154" s="4" t="s">
        <v>48</v>
      </c>
      <c r="D154" s="4" t="s">
        <v>43</v>
      </c>
      <c r="E154" s="4" t="s">
        <v>53</v>
      </c>
      <c r="F154" s="4">
        <v>20</v>
      </c>
      <c r="H154" s="5" t="s">
        <v>277</v>
      </c>
      <c r="J154" s="4">
        <f>LN(0.2)</f>
        <v>-1.6094379124341003</v>
      </c>
      <c r="K154" s="4">
        <f>LN(20*0.9)</f>
        <v>2.8903717578961645</v>
      </c>
      <c r="L154" s="4">
        <f>LN(9)</f>
        <v>2.1972245773362196</v>
      </c>
      <c r="O154" s="4">
        <v>1</v>
      </c>
      <c r="P154" s="4">
        <v>7</v>
      </c>
      <c r="Q154" s="4">
        <v>0.66600000000000004</v>
      </c>
      <c r="R154" s="4">
        <v>-2.4161932394130967</v>
      </c>
      <c r="S154" s="4">
        <v>0.24680861205441171</v>
      </c>
      <c r="T154" s="4">
        <v>2.5712727773124247</v>
      </c>
      <c r="U154" s="4">
        <v>0.61595734868887442</v>
      </c>
      <c r="V154" s="4">
        <v>0.69681736161269248</v>
      </c>
      <c r="W154" s="4">
        <v>0.79657259567948913</v>
      </c>
      <c r="Z154" s="4">
        <v>0.12361450677634703</v>
      </c>
      <c r="AA154" s="4">
        <v>0.93224350973049808</v>
      </c>
    </row>
    <row r="155" spans="1:27" x14ac:dyDescent="0.25">
      <c r="A155" s="4" t="s">
        <v>249</v>
      </c>
      <c r="B155" s="4" t="s">
        <v>48</v>
      </c>
      <c r="D155" s="4" t="s">
        <v>43</v>
      </c>
      <c r="E155" s="4" t="s">
        <v>53</v>
      </c>
      <c r="F155" s="4">
        <v>30</v>
      </c>
      <c r="H155" s="5" t="s">
        <v>277</v>
      </c>
      <c r="J155" s="4">
        <f>LN(0.2)</f>
        <v>-1.6094379124341003</v>
      </c>
      <c r="K155" s="4">
        <f>LN(20*0.9)</f>
        <v>2.8903717578961645</v>
      </c>
      <c r="L155" s="4">
        <f>LN(9)</f>
        <v>2.1972245773362196</v>
      </c>
      <c r="O155" s="4">
        <v>0</v>
      </c>
      <c r="P155" s="4">
        <v>10</v>
      </c>
      <c r="Q155" s="4">
        <v>0.76</v>
      </c>
      <c r="R155" s="4">
        <v>-2.4260687765404092</v>
      </c>
      <c r="S155" s="4">
        <v>3.8947030273017276E-2</v>
      </c>
      <c r="T155" s="4">
        <v>1.9911726482689924</v>
      </c>
      <c r="U155" s="4">
        <v>7.5252387586758521E-2</v>
      </c>
      <c r="V155" s="4">
        <v>0.66369325285302871</v>
      </c>
      <c r="W155" s="4">
        <v>0.10061757611766857</v>
      </c>
      <c r="Z155" s="4">
        <v>2.3719417990872214E-2</v>
      </c>
      <c r="AA155" s="4">
        <v>0.99825180049179962</v>
      </c>
    </row>
    <row r="156" spans="1:27" x14ac:dyDescent="0.25">
      <c r="A156" s="4" t="s">
        <v>250</v>
      </c>
      <c r="B156" s="4" t="s">
        <v>48</v>
      </c>
      <c r="D156" s="4" t="s">
        <v>43</v>
      </c>
      <c r="E156" s="4" t="s">
        <v>53</v>
      </c>
      <c r="F156" s="4">
        <v>40</v>
      </c>
      <c r="H156" s="5" t="s">
        <v>277</v>
      </c>
      <c r="J156" s="4">
        <f>LN(0.2)</f>
        <v>-1.6094379124341003</v>
      </c>
      <c r="K156" s="4">
        <f>LN(20*0.9)</f>
        <v>2.8903717578961645</v>
      </c>
      <c r="L156" s="4">
        <f>LN(9)</f>
        <v>2.1972245773362196</v>
      </c>
      <c r="O156" s="4">
        <v>0</v>
      </c>
      <c r="P156" s="4">
        <v>10</v>
      </c>
      <c r="Q156" s="4">
        <v>0.76</v>
      </c>
      <c r="R156" s="4">
        <v>-2.8971267669369141</v>
      </c>
      <c r="S156" s="4">
        <v>0.18087198134713295</v>
      </c>
      <c r="T156" s="4">
        <v>1.9470738230471025</v>
      </c>
      <c r="U156" s="4">
        <v>0.36243924178047859</v>
      </c>
      <c r="V156" s="4">
        <v>1.6052700774253703</v>
      </c>
      <c r="W156" s="4">
        <v>0.59972823707908185</v>
      </c>
      <c r="Z156" s="4">
        <v>0.14410823690702337</v>
      </c>
      <c r="AA156" s="4">
        <v>0.96165583765143814</v>
      </c>
    </row>
    <row r="157" spans="1:27" x14ac:dyDescent="0.25">
      <c r="A157" s="4" t="s">
        <v>251</v>
      </c>
      <c r="B157" s="4" t="s">
        <v>48</v>
      </c>
      <c r="D157" s="4" t="s">
        <v>43</v>
      </c>
      <c r="E157" s="4" t="s">
        <v>54</v>
      </c>
      <c r="F157" s="4">
        <v>20</v>
      </c>
      <c r="H157" s="5" t="s">
        <v>277</v>
      </c>
      <c r="J157" s="4">
        <f>LN(0.2)</f>
        <v>-1.6094379124341003</v>
      </c>
      <c r="K157" s="4">
        <f>LN(20*0.9)</f>
        <v>2.8903717578961645</v>
      </c>
      <c r="L157" s="4">
        <f>LN(9)</f>
        <v>2.1972245773362196</v>
      </c>
      <c r="O157" s="4">
        <v>1</v>
      </c>
      <c r="P157" s="4">
        <v>7</v>
      </c>
      <c r="Q157" s="4">
        <v>0.66600000000000004</v>
      </c>
      <c r="R157" s="4">
        <v>-2.231754476337581</v>
      </c>
      <c r="S157" s="4">
        <v>0.33766751409282636</v>
      </c>
      <c r="T157" s="4">
        <v>2.2803134320907015</v>
      </c>
      <c r="U157" s="4">
        <v>0.68716784937999564</v>
      </c>
      <c r="V157" s="4">
        <v>0.23237149818853245</v>
      </c>
      <c r="W157" s="4">
        <v>1.0408657370726084</v>
      </c>
      <c r="Z157" s="4">
        <v>0.13809468932719557</v>
      </c>
      <c r="AA157" s="4">
        <v>0.91479884231908493</v>
      </c>
    </row>
    <row r="158" spans="1:27" x14ac:dyDescent="0.25">
      <c r="A158" s="4" t="s">
        <v>252</v>
      </c>
      <c r="B158" s="4" t="s">
        <v>48</v>
      </c>
      <c r="D158" s="4" t="s">
        <v>43</v>
      </c>
      <c r="E158" s="4" t="s">
        <v>54</v>
      </c>
      <c r="F158" s="4">
        <v>30</v>
      </c>
      <c r="H158" s="5" t="s">
        <v>277</v>
      </c>
      <c r="J158" s="4">
        <f>LN(0.2)</f>
        <v>-1.6094379124341003</v>
      </c>
      <c r="K158" s="4">
        <f>LN(20*0.9)</f>
        <v>2.8903717578961645</v>
      </c>
      <c r="L158" s="4">
        <f>LN(9)</f>
        <v>2.1972245773362196</v>
      </c>
      <c r="O158" s="4">
        <v>0</v>
      </c>
      <c r="P158" s="4">
        <v>10</v>
      </c>
      <c r="Q158" s="4">
        <v>0.76</v>
      </c>
      <c r="R158" s="4">
        <v>-2.4190026529574773</v>
      </c>
      <c r="S158" s="4">
        <v>3.1791802244949811E-2</v>
      </c>
      <c r="T158" s="4">
        <v>1.9989435326843359</v>
      </c>
      <c r="U158" s="4">
        <v>6.1655639737522853E-2</v>
      </c>
      <c r="V158" s="4">
        <v>0.6644146663002547</v>
      </c>
      <c r="W158" s="4">
        <v>8.2261745469791009E-2</v>
      </c>
      <c r="Z158" s="4">
        <v>1.9420924507119814E-2</v>
      </c>
      <c r="AA158" s="4">
        <v>0.99882121892189313</v>
      </c>
    </row>
    <row r="159" spans="1:27" x14ac:dyDescent="0.25">
      <c r="A159" s="4" t="s">
        <v>253</v>
      </c>
      <c r="B159" s="4" t="s">
        <v>48</v>
      </c>
      <c r="D159" s="4" t="s">
        <v>43</v>
      </c>
      <c r="E159" s="4" t="s">
        <v>54</v>
      </c>
      <c r="F159" s="4">
        <v>40</v>
      </c>
      <c r="H159" s="5" t="s">
        <v>277</v>
      </c>
      <c r="J159" s="4">
        <f>LN(0.2)</f>
        <v>-1.6094379124341003</v>
      </c>
      <c r="K159" s="4">
        <f>LN(20*0.9)</f>
        <v>2.8903717578961645</v>
      </c>
      <c r="L159" s="4">
        <f>LN(9)</f>
        <v>2.1972245773362196</v>
      </c>
      <c r="O159" s="4">
        <v>0</v>
      </c>
      <c r="P159" s="4">
        <v>9</v>
      </c>
      <c r="Q159" s="4">
        <v>0.76</v>
      </c>
      <c r="R159" s="4">
        <v>-2.9935236295029006</v>
      </c>
      <c r="S159" s="4">
        <v>0.15140876021937077</v>
      </c>
      <c r="T159" s="4">
        <v>2.3571126852815465</v>
      </c>
      <c r="U159" s="4">
        <v>0.3757805689231829</v>
      </c>
      <c r="V159" s="4">
        <v>1.9124131709240035</v>
      </c>
      <c r="W159" s="4">
        <v>0.60365764996870319</v>
      </c>
      <c r="Z159" s="4">
        <v>0.14051509920279565</v>
      </c>
      <c r="AA159" s="4">
        <v>0.96166286271223167</v>
      </c>
    </row>
    <row r="160" spans="1:27" x14ac:dyDescent="0.25">
      <c r="A160" s="4" t="s">
        <v>254</v>
      </c>
      <c r="B160" s="4" t="s">
        <v>49</v>
      </c>
      <c r="C160" s="4" t="s">
        <v>50</v>
      </c>
      <c r="D160" s="4" t="s">
        <v>6</v>
      </c>
      <c r="F160" s="4">
        <v>5</v>
      </c>
      <c r="H160" s="5" t="s">
        <v>277</v>
      </c>
      <c r="J160" s="4">
        <f>LN(0.2)</f>
        <v>-1.6094379124341003</v>
      </c>
      <c r="K160" s="4">
        <f>LN(20*0.9)</f>
        <v>2.8903717578961645</v>
      </c>
      <c r="L160" s="4">
        <f>LN(9)</f>
        <v>2.1972245773362196</v>
      </c>
      <c r="O160" s="4">
        <v>0</v>
      </c>
      <c r="P160" s="4">
        <v>14</v>
      </c>
      <c r="Q160" s="4">
        <v>0.91049999999999998</v>
      </c>
      <c r="R160" s="4">
        <v>-2.8326986381216126</v>
      </c>
      <c r="S160" s="4">
        <v>2.3674427621299819E-3</v>
      </c>
      <c r="T160" s="4">
        <v>3.6161565774652824</v>
      </c>
      <c r="U160" s="4">
        <v>2.0980314206232652E-2</v>
      </c>
      <c r="V160" s="4">
        <v>2.702776811663806</v>
      </c>
      <c r="W160" s="4">
        <v>6.8805927986492089E-3</v>
      </c>
      <c r="Z160" s="4">
        <v>4.9549917560374832E-3</v>
      </c>
      <c r="AA160" s="4">
        <v>0.99996615103182573</v>
      </c>
    </row>
    <row r="161" spans="1:27" x14ac:dyDescent="0.25">
      <c r="A161" s="4" t="s">
        <v>255</v>
      </c>
      <c r="B161" s="4" t="s">
        <v>49</v>
      </c>
      <c r="C161" s="4" t="s">
        <v>51</v>
      </c>
      <c r="D161" s="4" t="s">
        <v>6</v>
      </c>
      <c r="F161" s="4">
        <v>5</v>
      </c>
      <c r="H161" s="5" t="s">
        <v>277</v>
      </c>
      <c r="J161" s="4">
        <f>LN(0.2)</f>
        <v>-1.6094379124341003</v>
      </c>
      <c r="K161" s="4">
        <f>LN(20*0.9)</f>
        <v>2.8903717578961645</v>
      </c>
      <c r="L161" s="4">
        <f>LN(9)</f>
        <v>2.1972245773362196</v>
      </c>
      <c r="O161" s="4">
        <v>0</v>
      </c>
      <c r="P161" s="4">
        <v>14</v>
      </c>
      <c r="Q161" s="4">
        <v>0.91049999999999998</v>
      </c>
      <c r="R161" s="4">
        <v>-2.8716273958186935</v>
      </c>
      <c r="S161" s="4">
        <v>2.1509447107977458E-2</v>
      </c>
      <c r="T161" s="4">
        <v>3.1823755049060107</v>
      </c>
      <c r="U161" s="4">
        <v>0.13685492615356121</v>
      </c>
      <c r="V161" s="4">
        <v>2.6951602595927575</v>
      </c>
      <c r="W161" s="4">
        <v>6.1382304906968749E-2</v>
      </c>
      <c r="Z161" s="4">
        <v>4.3827886827279429E-2</v>
      </c>
      <c r="AA161" s="4">
        <v>0.99750864882698675</v>
      </c>
    </row>
    <row r="162" spans="1:27" x14ac:dyDescent="0.25">
      <c r="A162" s="4" t="s">
        <v>256</v>
      </c>
      <c r="B162" s="4" t="s">
        <v>49</v>
      </c>
      <c r="C162" s="4" t="s">
        <v>50</v>
      </c>
      <c r="D162" s="4" t="s">
        <v>6</v>
      </c>
      <c r="F162" s="4">
        <v>10</v>
      </c>
      <c r="H162" s="5" t="s">
        <v>277</v>
      </c>
      <c r="J162" s="4">
        <f>LN(0.2)</f>
        <v>-1.6094379124341003</v>
      </c>
      <c r="K162" s="4">
        <f>LN(20*0.9)</f>
        <v>2.8903717578961645</v>
      </c>
      <c r="L162" s="4">
        <f>LN(9)</f>
        <v>2.1972245773362196</v>
      </c>
      <c r="O162" s="4">
        <v>0</v>
      </c>
      <c r="P162" s="4">
        <v>14</v>
      </c>
      <c r="Q162" s="4">
        <v>0.91039999999999999</v>
      </c>
      <c r="R162" s="4">
        <v>-3.0345520857279062</v>
      </c>
      <c r="S162" s="4">
        <v>1.6624043570163269E-2</v>
      </c>
      <c r="T162" s="4">
        <v>3.9905910334619925</v>
      </c>
      <c r="U162" s="4">
        <v>0.200764175872405</v>
      </c>
      <c r="V162" s="4">
        <v>2.990275981050817</v>
      </c>
      <c r="W162" s="4">
        <v>5.5581875484108721E-2</v>
      </c>
      <c r="Z162" s="4">
        <v>3.682571991540444E-2</v>
      </c>
      <c r="AA162" s="4">
        <v>0.9982447226916199</v>
      </c>
    </row>
    <row r="163" spans="1:27" x14ac:dyDescent="0.25">
      <c r="A163" s="4" t="s">
        <v>257</v>
      </c>
      <c r="B163" s="4" t="s">
        <v>49</v>
      </c>
      <c r="C163" s="4" t="s">
        <v>51</v>
      </c>
      <c r="D163" s="4" t="s">
        <v>6</v>
      </c>
      <c r="F163" s="4">
        <v>10</v>
      </c>
      <c r="H163" s="5" t="s">
        <v>277</v>
      </c>
      <c r="J163" s="4">
        <f>LN(0.2)</f>
        <v>-1.6094379124341003</v>
      </c>
      <c r="K163" s="4">
        <f>LN(20*0.9)</f>
        <v>2.8903717578961645</v>
      </c>
      <c r="L163" s="4">
        <f>LN(9)</f>
        <v>2.1972245773362196</v>
      </c>
      <c r="O163" s="4">
        <v>0</v>
      </c>
      <c r="P163" s="4">
        <v>14</v>
      </c>
      <c r="Q163" s="4">
        <v>0.91039999999999999</v>
      </c>
      <c r="R163" s="4">
        <v>-2.9688092594262945</v>
      </c>
      <c r="S163" s="4">
        <v>2.1114949625218916E-2</v>
      </c>
      <c r="T163" s="4">
        <v>3.7935979869545329</v>
      </c>
      <c r="U163" s="4">
        <v>0.21106100315638593</v>
      </c>
      <c r="V163" s="4">
        <v>2.7206614415364601</v>
      </c>
      <c r="W163" s="4">
        <v>6.4323636068266229E-2</v>
      </c>
      <c r="Z163" s="4">
        <v>4.462401538502133E-2</v>
      </c>
      <c r="AA163" s="4">
        <v>0.99715232846385049</v>
      </c>
    </row>
    <row r="164" spans="1:27" x14ac:dyDescent="0.25">
      <c r="A164" s="4" t="s">
        <v>258</v>
      </c>
      <c r="B164" s="4" t="s">
        <v>49</v>
      </c>
      <c r="C164" s="4" t="s">
        <v>50</v>
      </c>
      <c r="D164" s="4" t="s">
        <v>6</v>
      </c>
      <c r="F164" s="4">
        <v>20</v>
      </c>
      <c r="H164" s="5" t="s">
        <v>277</v>
      </c>
      <c r="J164" s="4">
        <f>LN(0.2)</f>
        <v>-1.6094379124341003</v>
      </c>
      <c r="K164" s="4">
        <f>LN(20*0.9)</f>
        <v>2.8903717578961645</v>
      </c>
      <c r="L164" s="4">
        <f>LN(9)</f>
        <v>2.1972245773362196</v>
      </c>
      <c r="O164" s="4">
        <v>0</v>
      </c>
      <c r="P164" s="4">
        <v>14</v>
      </c>
      <c r="Q164" s="4">
        <v>0.90979999999999994</v>
      </c>
      <c r="R164" s="4">
        <v>-2.8600785345291984</v>
      </c>
      <c r="S164" s="4">
        <v>1.4672146779486375E-2</v>
      </c>
      <c r="T164" s="4">
        <v>4.0147404720454816</v>
      </c>
      <c r="U164" s="4">
        <v>0.16878218176404189</v>
      </c>
      <c r="V164" s="4">
        <v>2.8551094376614046</v>
      </c>
      <c r="W164" s="4">
        <v>5.1634027672882152E-2</v>
      </c>
      <c r="Z164" s="4">
        <v>3.1682185367626674E-2</v>
      </c>
      <c r="AA164" s="4">
        <v>0.99854358492619433</v>
      </c>
    </row>
    <row r="165" spans="1:27" x14ac:dyDescent="0.25">
      <c r="A165" s="4" t="s">
        <v>259</v>
      </c>
      <c r="B165" s="4" t="s">
        <v>49</v>
      </c>
      <c r="C165" s="4" t="s">
        <v>51</v>
      </c>
      <c r="D165" s="4" t="s">
        <v>6</v>
      </c>
      <c r="F165" s="4">
        <v>20</v>
      </c>
      <c r="H165" s="5" t="s">
        <v>277</v>
      </c>
      <c r="J165" s="4">
        <f>LN(0.2)</f>
        <v>-1.6094379124341003</v>
      </c>
      <c r="K165" s="4">
        <f>LN(20*0.9)</f>
        <v>2.8903717578961645</v>
      </c>
      <c r="L165" s="4">
        <f>LN(9)</f>
        <v>2.1972245773362196</v>
      </c>
      <c r="O165" s="4">
        <v>0</v>
      </c>
      <c r="P165" s="4">
        <v>14</v>
      </c>
      <c r="Q165" s="4">
        <v>0.90979999999999994</v>
      </c>
      <c r="R165" s="4">
        <v>-3.0902702504931621</v>
      </c>
      <c r="S165" s="4">
        <v>2.0333347385546156E-2</v>
      </c>
      <c r="T165" s="4">
        <v>3.5400341877136308</v>
      </c>
      <c r="U165" s="4">
        <v>0.16387424682378016</v>
      </c>
      <c r="V165" s="4">
        <v>3.1606128646440044</v>
      </c>
      <c r="W165" s="4">
        <v>7.9999933337524531E-2</v>
      </c>
      <c r="Z165" s="4">
        <v>4.4703021957928385E-2</v>
      </c>
      <c r="AA165" s="4">
        <v>0.99753622812946496</v>
      </c>
    </row>
    <row r="166" spans="1:27" x14ac:dyDescent="0.25">
      <c r="A166" s="4" t="s">
        <v>260</v>
      </c>
      <c r="B166" s="4" t="s">
        <v>49</v>
      </c>
      <c r="C166" s="4" t="s">
        <v>50</v>
      </c>
      <c r="D166" s="4" t="s">
        <v>6</v>
      </c>
      <c r="F166" s="4">
        <v>30</v>
      </c>
      <c r="H166" s="5" t="s">
        <v>277</v>
      </c>
      <c r="J166" s="4">
        <f>LN(0.2)</f>
        <v>-1.6094379124341003</v>
      </c>
      <c r="K166" s="4">
        <f>LN(20*0.9)</f>
        <v>2.8903717578961645</v>
      </c>
      <c r="L166" s="4">
        <f>LN(9)</f>
        <v>2.1972245773362196</v>
      </c>
      <c r="O166" s="4">
        <v>0</v>
      </c>
      <c r="P166" s="4">
        <v>14</v>
      </c>
      <c r="Q166" s="4">
        <v>0.90839999999999999</v>
      </c>
      <c r="R166" s="4">
        <v>-3.1558076767589451</v>
      </c>
      <c r="S166" s="4">
        <v>2.2687034602442032E-2</v>
      </c>
      <c r="T166" s="4">
        <v>3.8632278543286342</v>
      </c>
      <c r="U166" s="4">
        <v>0.22308565846392642</v>
      </c>
      <c r="V166" s="4">
        <v>3.1514509314044497</v>
      </c>
      <c r="W166" s="4">
        <v>0.10116822816892497</v>
      </c>
      <c r="Z166" s="4">
        <v>4.9975548149289076E-2</v>
      </c>
      <c r="AA166" s="4">
        <v>0.99651542027680795</v>
      </c>
    </row>
    <row r="167" spans="1:27" x14ac:dyDescent="0.25">
      <c r="A167" s="4" t="s">
        <v>261</v>
      </c>
      <c r="B167" s="4" t="s">
        <v>49</v>
      </c>
      <c r="C167" s="4" t="s">
        <v>51</v>
      </c>
      <c r="D167" s="4" t="s">
        <v>6</v>
      </c>
      <c r="F167" s="4">
        <v>30</v>
      </c>
      <c r="H167" s="5" t="s">
        <v>277</v>
      </c>
      <c r="J167" s="4">
        <f>LN(0.2)</f>
        <v>-1.6094379124341003</v>
      </c>
      <c r="K167" s="4">
        <f>LN(20*0.9)</f>
        <v>2.8903717578961645</v>
      </c>
      <c r="L167" s="4">
        <f>LN(9)</f>
        <v>2.1972245773362196</v>
      </c>
      <c r="O167" s="4">
        <v>0</v>
      </c>
      <c r="P167" s="4">
        <v>14</v>
      </c>
      <c r="Q167" s="4">
        <v>0.90839999999999999</v>
      </c>
      <c r="R167" s="4">
        <v>-3.2089116132006232</v>
      </c>
      <c r="S167" s="4">
        <v>1.702844100705667E-2</v>
      </c>
      <c r="T167" s="4">
        <v>3.7985306141052826</v>
      </c>
      <c r="U167" s="4">
        <v>0.15812767850147225</v>
      </c>
      <c r="V167" s="4">
        <v>3.0807027913251268</v>
      </c>
      <c r="W167" s="4">
        <v>7.3253406518655959E-2</v>
      </c>
      <c r="Z167" s="4">
        <v>3.7088081937178295E-2</v>
      </c>
      <c r="AA167" s="4">
        <v>0.99806389351803004</v>
      </c>
    </row>
    <row r="168" spans="1:27" x14ac:dyDescent="0.25">
      <c r="A168" s="4" t="s">
        <v>262</v>
      </c>
      <c r="B168" s="4" t="s">
        <v>49</v>
      </c>
      <c r="C168" s="4" t="s">
        <v>50</v>
      </c>
      <c r="D168" s="4" t="s">
        <v>6</v>
      </c>
      <c r="F168" s="4">
        <v>40</v>
      </c>
      <c r="H168" s="5" t="s">
        <v>277</v>
      </c>
      <c r="J168" s="4">
        <f>LN(0.2)</f>
        <v>-1.6094379124341003</v>
      </c>
      <c r="K168" s="4">
        <f>LN(20*0.9)</f>
        <v>2.8903717578961645</v>
      </c>
      <c r="L168" s="4">
        <f>LN(9)</f>
        <v>2.1972245773362196</v>
      </c>
      <c r="O168" s="4">
        <v>0</v>
      </c>
      <c r="P168" s="4">
        <v>13</v>
      </c>
      <c r="Q168" s="4">
        <v>0.90609999999999991</v>
      </c>
      <c r="R168" s="4">
        <v>-3.1881547132562313</v>
      </c>
      <c r="S168" s="4">
        <v>1.9344754654703884E-2</v>
      </c>
      <c r="T168" s="4">
        <v>3.7982326183517445</v>
      </c>
      <c r="U168" s="4">
        <v>0.16503771874565809</v>
      </c>
      <c r="V168" s="4">
        <v>3.2203861099429729</v>
      </c>
      <c r="W168" s="4">
        <v>9.6163259832784745E-2</v>
      </c>
      <c r="Z168" s="4">
        <v>3.9995821538732559E-2</v>
      </c>
      <c r="AA168" s="4">
        <v>0.99778065540033911</v>
      </c>
    </row>
    <row r="169" spans="1:27" x14ac:dyDescent="0.25">
      <c r="A169" s="4" t="s">
        <v>263</v>
      </c>
      <c r="B169" s="4" t="s">
        <v>49</v>
      </c>
      <c r="C169" s="4" t="s">
        <v>51</v>
      </c>
      <c r="D169" s="4" t="s">
        <v>6</v>
      </c>
      <c r="F169" s="4">
        <v>40</v>
      </c>
      <c r="H169" s="5" t="s">
        <v>277</v>
      </c>
      <c r="J169" s="4">
        <f>LN(0.2)</f>
        <v>-1.6094379124341003</v>
      </c>
      <c r="K169" s="4">
        <f>LN(20*0.9)</f>
        <v>2.8903717578961645</v>
      </c>
      <c r="L169" s="4">
        <f>LN(9)</f>
        <v>2.1972245773362196</v>
      </c>
      <c r="O169" s="4">
        <v>0</v>
      </c>
      <c r="P169" s="4">
        <v>13</v>
      </c>
      <c r="Q169" s="4">
        <v>0.90609999999999991</v>
      </c>
      <c r="R169" s="4">
        <v>-3.3065950681121876</v>
      </c>
      <c r="S169" s="4">
        <v>1.8641240718167609E-2</v>
      </c>
      <c r="T169" s="4">
        <v>4.0764508583092596</v>
      </c>
      <c r="U169" s="4">
        <v>0.20027403747073458</v>
      </c>
      <c r="V169" s="4">
        <v>3.3049999510914563</v>
      </c>
      <c r="W169" s="4">
        <v>9.779792814318948E-2</v>
      </c>
      <c r="Z169" s="4">
        <v>3.9374797349621987E-2</v>
      </c>
      <c r="AA169" s="4">
        <v>0.99782590980027808</v>
      </c>
    </row>
    <row r="170" spans="1:27" x14ac:dyDescent="0.25">
      <c r="A170" s="4" t="s">
        <v>264</v>
      </c>
      <c r="B170" s="4" t="s">
        <v>49</v>
      </c>
      <c r="C170" s="4" t="s">
        <v>50</v>
      </c>
      <c r="D170" s="4" t="s">
        <v>6</v>
      </c>
      <c r="F170" s="4">
        <v>50</v>
      </c>
      <c r="H170" s="5" t="s">
        <v>277</v>
      </c>
      <c r="J170" s="4">
        <f>LN(0.2)</f>
        <v>-1.6094379124341003</v>
      </c>
      <c r="K170" s="4">
        <f>LN(20*0.9)</f>
        <v>2.8903717578961645</v>
      </c>
      <c r="L170" s="4">
        <f>LN(9)</f>
        <v>2.1972245773362196</v>
      </c>
      <c r="O170" s="4">
        <v>0</v>
      </c>
      <c r="P170" s="4">
        <v>13</v>
      </c>
      <c r="Q170" s="4">
        <v>0.90290000000000004</v>
      </c>
      <c r="R170" s="4">
        <v>-3.2609894147555356</v>
      </c>
      <c r="S170" s="4">
        <v>1.727593549985067E-2</v>
      </c>
      <c r="T170" s="4">
        <v>3.9541778496472322</v>
      </c>
      <c r="U170" s="4">
        <v>0.15957141343737224</v>
      </c>
      <c r="V170" s="4">
        <v>3.3071311308901925</v>
      </c>
      <c r="W170" s="4">
        <v>9.9680540528610667E-2</v>
      </c>
      <c r="Z170" s="4">
        <v>3.5934946771660516E-2</v>
      </c>
      <c r="AA170" s="4">
        <v>0.99808975769105668</v>
      </c>
    </row>
    <row r="171" spans="1:27" x14ac:dyDescent="0.25">
      <c r="A171" s="4" t="s">
        <v>265</v>
      </c>
      <c r="B171" s="4" t="s">
        <v>49</v>
      </c>
      <c r="C171" s="4" t="s">
        <v>51</v>
      </c>
      <c r="D171" s="4" t="s">
        <v>6</v>
      </c>
      <c r="F171" s="4">
        <v>50</v>
      </c>
      <c r="H171" s="5" t="s">
        <v>277</v>
      </c>
      <c r="J171" s="4">
        <f>LN(0.2)</f>
        <v>-1.6094379124341003</v>
      </c>
      <c r="K171" s="4">
        <f>LN(20*0.9)</f>
        <v>2.8903717578961645</v>
      </c>
      <c r="L171" s="4">
        <f>LN(9)</f>
        <v>2.1972245773362196</v>
      </c>
      <c r="O171" s="4">
        <v>0</v>
      </c>
      <c r="P171" s="4">
        <v>13</v>
      </c>
      <c r="Q171" s="4">
        <v>0.90290000000000004</v>
      </c>
      <c r="R171" s="4">
        <v>-3.3137389979160949</v>
      </c>
      <c r="S171" s="4">
        <v>2.279474777869505E-2</v>
      </c>
      <c r="T171" s="4">
        <v>3.8265818862752101</v>
      </c>
      <c r="U171" s="4">
        <v>0.18990809862229169</v>
      </c>
      <c r="V171" s="4">
        <v>3.2815248531284746</v>
      </c>
      <c r="W171" s="4">
        <v>0.12908285120558147</v>
      </c>
      <c r="Z171" s="4">
        <v>4.7002942575927346E-2</v>
      </c>
      <c r="AA171" s="4">
        <v>0.99677588999062516</v>
      </c>
    </row>
    <row r="172" spans="1:27" x14ac:dyDescent="0.25">
      <c r="A172" s="4" t="s">
        <v>266</v>
      </c>
      <c r="B172" s="4" t="s">
        <v>49</v>
      </c>
      <c r="C172" s="4" t="s">
        <v>50</v>
      </c>
      <c r="D172" s="4" t="s">
        <v>6</v>
      </c>
      <c r="F172" s="4">
        <v>60</v>
      </c>
      <c r="H172" s="5" t="s">
        <v>277</v>
      </c>
      <c r="J172" s="4">
        <f>LN(0.2)</f>
        <v>-1.6094379124341003</v>
      </c>
      <c r="K172" s="4">
        <f>LN(20*0.9)</f>
        <v>2.8903717578961645</v>
      </c>
      <c r="L172" s="4">
        <f>LN(9)</f>
        <v>2.1972245773362196</v>
      </c>
      <c r="O172" s="4">
        <v>0</v>
      </c>
      <c r="P172" s="4">
        <v>9</v>
      </c>
      <c r="Q172" s="4">
        <v>0.74919999999999998</v>
      </c>
      <c r="R172" s="4">
        <v>-3.2809740486729702</v>
      </c>
      <c r="S172" s="4">
        <v>1.2759439420827667E-2</v>
      </c>
      <c r="T172" s="4">
        <v>3.8972567936901701</v>
      </c>
      <c r="U172" s="4">
        <v>8.1355922035094203E-2</v>
      </c>
      <c r="V172" s="4">
        <v>3.4770408526766983</v>
      </c>
      <c r="W172" s="4">
        <v>0.19495002397722064</v>
      </c>
      <c r="Z172" s="4">
        <v>1.5344111167806224E-2</v>
      </c>
      <c r="AA172" s="4">
        <v>0.99939616414207522</v>
      </c>
    </row>
    <row r="173" spans="1:27" x14ac:dyDescent="0.25">
      <c r="A173" s="4" t="s">
        <v>267</v>
      </c>
      <c r="B173" s="4" t="s">
        <v>49</v>
      </c>
      <c r="C173" s="4" t="s">
        <v>51</v>
      </c>
      <c r="D173" s="4" t="s">
        <v>6</v>
      </c>
      <c r="F173" s="4">
        <v>60</v>
      </c>
      <c r="H173" s="5" t="s">
        <v>277</v>
      </c>
      <c r="J173" s="4">
        <f>LN(0.2)</f>
        <v>-1.6094379124341003</v>
      </c>
      <c r="K173" s="4">
        <f>LN(20*0.9)</f>
        <v>2.8903717578961645</v>
      </c>
      <c r="L173" s="4">
        <f>LN(9)</f>
        <v>2.1972245773362196</v>
      </c>
      <c r="O173" s="4">
        <v>0</v>
      </c>
      <c r="P173" s="4">
        <v>9</v>
      </c>
      <c r="Q173" s="4">
        <v>0.74919999999999998</v>
      </c>
      <c r="R173" s="4">
        <v>-3.364536615033801</v>
      </c>
      <c r="S173" s="4">
        <v>1.4710213654274756E-2</v>
      </c>
      <c r="T173" s="4">
        <v>4.0013506035401427</v>
      </c>
      <c r="U173" s="4">
        <v>0.10226511032441886</v>
      </c>
      <c r="V173" s="4">
        <v>3.7065087011630338</v>
      </c>
      <c r="W173" s="4">
        <v>0.27562061868346666</v>
      </c>
      <c r="Z173" s="4">
        <v>1.795817489908719E-2</v>
      </c>
      <c r="AA173" s="4">
        <v>0.99917163751254312</v>
      </c>
    </row>
    <row r="174" spans="1:27" x14ac:dyDescent="0.25">
      <c r="A174" s="4" t="s">
        <v>268</v>
      </c>
      <c r="B174" s="4" t="s">
        <v>49</v>
      </c>
      <c r="C174" s="4" t="s">
        <v>50</v>
      </c>
      <c r="D174" s="4" t="s">
        <v>6</v>
      </c>
      <c r="F174" s="4">
        <v>70</v>
      </c>
      <c r="H174" s="5" t="s">
        <v>277</v>
      </c>
      <c r="J174" s="4">
        <f>LN(0.2)</f>
        <v>-1.6094379124341003</v>
      </c>
      <c r="K174" s="4">
        <f>LN(20*0.9)</f>
        <v>2.8903717578961645</v>
      </c>
      <c r="L174" s="4">
        <f>LN(9)</f>
        <v>2.1972245773362196</v>
      </c>
      <c r="O174" s="4">
        <v>0</v>
      </c>
      <c r="P174" s="4">
        <v>9</v>
      </c>
      <c r="Q174" s="4">
        <v>0.74260000000000004</v>
      </c>
      <c r="R174" s="4">
        <v>-3.3401636728445991</v>
      </c>
      <c r="S174" s="4">
        <v>1.7919903497299702E-2</v>
      </c>
      <c r="T174" s="4">
        <v>3.8389167917918492</v>
      </c>
      <c r="U174" s="4">
        <v>0.1011308728076456</v>
      </c>
      <c r="V174" s="4">
        <v>3.9619965047846697</v>
      </c>
      <c r="W174" s="4">
        <v>0.42541557414753572</v>
      </c>
      <c r="Z174" s="4">
        <v>2.1296038807918478E-2</v>
      </c>
      <c r="AA174" s="4">
        <v>0.99893501142924568</v>
      </c>
    </row>
    <row r="175" spans="1:27" x14ac:dyDescent="0.25">
      <c r="A175" s="4" t="s">
        <v>269</v>
      </c>
      <c r="B175" s="4" t="s">
        <v>49</v>
      </c>
      <c r="C175" s="4" t="s">
        <v>51</v>
      </c>
      <c r="D175" s="4" t="s">
        <v>6</v>
      </c>
      <c r="F175" s="4">
        <v>70</v>
      </c>
      <c r="H175" s="5" t="s">
        <v>277</v>
      </c>
      <c r="J175" s="4">
        <f>LN(0.2)</f>
        <v>-1.6094379124341003</v>
      </c>
      <c r="K175" s="4">
        <f>LN(20*0.9)</f>
        <v>2.8903717578961645</v>
      </c>
      <c r="L175" s="4">
        <f>LN(9)</f>
        <v>2.1972245773362196</v>
      </c>
      <c r="O175" s="4">
        <v>0</v>
      </c>
      <c r="P175" s="4">
        <v>9</v>
      </c>
      <c r="Q175" s="4">
        <v>0.74260000000000004</v>
      </c>
      <c r="R175" s="4">
        <v>-3.4237755717740175</v>
      </c>
      <c r="S175" s="4">
        <v>3.5011199504535656E-2</v>
      </c>
      <c r="T175" s="4">
        <v>3.6754211369513627</v>
      </c>
      <c r="U175" s="4">
        <v>0.17388349084790167</v>
      </c>
      <c r="V175" s="4">
        <v>3.6204369453346126</v>
      </c>
      <c r="W175" s="4">
        <v>0.60805579285773115</v>
      </c>
      <c r="Z175" s="4">
        <v>4.0678923728120292E-2</v>
      </c>
      <c r="AA175" s="4">
        <v>0.99618112268927517</v>
      </c>
    </row>
    <row r="176" spans="1:27" x14ac:dyDescent="0.25">
      <c r="A176" s="4" t="s">
        <v>270</v>
      </c>
      <c r="B176" s="4" t="s">
        <v>49</v>
      </c>
      <c r="C176" s="4" t="s">
        <v>50</v>
      </c>
      <c r="D176" s="4" t="s">
        <v>6</v>
      </c>
      <c r="F176" s="4">
        <v>80</v>
      </c>
      <c r="H176" s="5" t="s">
        <v>277</v>
      </c>
      <c r="J176" s="4">
        <f>LN(0.2)</f>
        <v>-1.6094379124341003</v>
      </c>
      <c r="K176" s="4">
        <f>LN(20*0.9)</f>
        <v>2.8903717578961645</v>
      </c>
      <c r="L176" s="4">
        <f>LN(9)</f>
        <v>2.1972245773362196</v>
      </c>
      <c r="O176" s="4">
        <v>0</v>
      </c>
      <c r="P176" s="4">
        <v>8</v>
      </c>
      <c r="Q176" s="4">
        <v>0.73699999999999999</v>
      </c>
      <c r="R176" s="4">
        <v>-3.3873505229628296</v>
      </c>
      <c r="S176" s="4">
        <v>1.3520906251007067E-2</v>
      </c>
      <c r="T176" s="4">
        <v>3.7511610502935069</v>
      </c>
      <c r="U176" s="4">
        <v>7.568969980342577E-2</v>
      </c>
      <c r="V176" s="4">
        <v>3.5230755128378308</v>
      </c>
      <c r="W176" s="4">
        <v>0.21423262481348793</v>
      </c>
      <c r="Z176" s="4">
        <v>1.5485312892441117E-2</v>
      </c>
      <c r="AA176" s="4">
        <v>0.99942771157038424</v>
      </c>
    </row>
    <row r="177" spans="1:27" x14ac:dyDescent="0.25">
      <c r="A177" s="4" t="s">
        <v>271</v>
      </c>
      <c r="B177" s="4" t="s">
        <v>49</v>
      </c>
      <c r="C177" s="4" t="s">
        <v>51</v>
      </c>
      <c r="D177" s="4" t="s">
        <v>6</v>
      </c>
      <c r="F177" s="4">
        <v>80</v>
      </c>
      <c r="H177" s="5" t="s">
        <v>277</v>
      </c>
      <c r="J177" s="4">
        <f>LN(0.2)</f>
        <v>-1.6094379124341003</v>
      </c>
      <c r="K177" s="4">
        <f>LN(20*0.9)</f>
        <v>2.8903717578961645</v>
      </c>
      <c r="L177" s="4">
        <f>LN(9)</f>
        <v>2.1972245773362196</v>
      </c>
      <c r="O177" s="4">
        <v>0</v>
      </c>
      <c r="P177" s="4">
        <v>8</v>
      </c>
      <c r="Q177" s="4">
        <v>0.73699999999999999</v>
      </c>
      <c r="R177" s="4">
        <v>-3.3920717567567338</v>
      </c>
      <c r="S177" s="4">
        <v>1.5709900041708479E-2</v>
      </c>
      <c r="T177" s="4">
        <v>3.75954969147852</v>
      </c>
      <c r="U177" s="4">
        <v>8.7610060950847571E-2</v>
      </c>
      <c r="V177" s="4">
        <v>2.9815677724651621</v>
      </c>
      <c r="W177" s="4">
        <v>0.159110574241144</v>
      </c>
      <c r="Z177" s="4">
        <v>1.7653837803422869E-2</v>
      </c>
      <c r="AA177" s="4">
        <v>0.9991963015519354</v>
      </c>
    </row>
    <row r="178" spans="1:27" s="1" customFormat="1" x14ac:dyDescent="0.25">
      <c r="A178" s="4" t="s">
        <v>272</v>
      </c>
      <c r="B178" s="4" t="s">
        <v>49</v>
      </c>
      <c r="C178" s="4" t="s">
        <v>50</v>
      </c>
      <c r="D178" s="4" t="s">
        <v>6</v>
      </c>
      <c r="E178" s="4"/>
      <c r="F178" s="4">
        <v>90</v>
      </c>
      <c r="G178" s="4"/>
      <c r="H178" s="5" t="s">
        <v>277</v>
      </c>
      <c r="I178" s="4"/>
      <c r="J178" s="4">
        <f>LN(0.2)</f>
        <v>-1.6094379124341003</v>
      </c>
      <c r="K178" s="4">
        <f>LN(20*0.9)</f>
        <v>2.8903717578961645</v>
      </c>
      <c r="L178" s="4">
        <f>LN(9)</f>
        <v>2.1972245773362196</v>
      </c>
      <c r="M178" s="4"/>
      <c r="N178" s="6"/>
      <c r="O178" s="4">
        <v>2</v>
      </c>
      <c r="P178" s="4">
        <v>6</v>
      </c>
      <c r="Q178" s="4">
        <v>0.73240000000000005</v>
      </c>
      <c r="R178" s="4">
        <v>-3.4578219366693395</v>
      </c>
      <c r="S178" s="4">
        <v>3.4135879448389715E-2</v>
      </c>
      <c r="T178" s="4">
        <v>3.9332418916592782</v>
      </c>
      <c r="U178" s="4">
        <v>0.2147060642135796</v>
      </c>
      <c r="V178" s="4">
        <v>24.688545337427051</v>
      </c>
      <c r="W178" s="4">
        <v>459490155.50054884</v>
      </c>
      <c r="X178" s="4"/>
      <c r="Y178" s="4"/>
      <c r="Z178" s="4">
        <v>3.5816706164531503E-2</v>
      </c>
      <c r="AA178" s="4">
        <v>0.99714830017403444</v>
      </c>
    </row>
    <row r="179" spans="1:27" s="1" customFormat="1" x14ac:dyDescent="0.25">
      <c r="A179" s="4" t="s">
        <v>273</v>
      </c>
      <c r="B179" s="4" t="s">
        <v>49</v>
      </c>
      <c r="C179" s="4" t="s">
        <v>51</v>
      </c>
      <c r="D179" s="4" t="s">
        <v>6</v>
      </c>
      <c r="E179" s="4"/>
      <c r="F179" s="4">
        <v>90</v>
      </c>
      <c r="G179" s="4"/>
      <c r="H179" s="5" t="s">
        <v>277</v>
      </c>
      <c r="I179" s="4"/>
      <c r="J179" s="4">
        <f>LN(0.2)</f>
        <v>-1.6094379124341003</v>
      </c>
      <c r="K179" s="4">
        <f>LN(20*0.9)</f>
        <v>2.8903717578961645</v>
      </c>
      <c r="L179" s="4">
        <f>LN(9)</f>
        <v>2.1972245773362196</v>
      </c>
      <c r="M179" s="4"/>
      <c r="N179" s="6"/>
      <c r="O179" s="4">
        <v>0</v>
      </c>
      <c r="P179" s="4">
        <v>6</v>
      </c>
      <c r="Q179" s="4">
        <v>0.73240000000000005</v>
      </c>
      <c r="R179" s="4">
        <v>-3.4662491570325518</v>
      </c>
      <c r="S179" s="4">
        <v>4.2885676181806727E-2</v>
      </c>
      <c r="T179" s="4">
        <v>4.1130238827013832</v>
      </c>
      <c r="U179" s="4">
        <v>0.304305044657037</v>
      </c>
      <c r="V179" s="4">
        <v>3.5791356074596679</v>
      </c>
      <c r="W179" s="4">
        <v>0.76377649110665413</v>
      </c>
      <c r="X179" s="4"/>
      <c r="Y179" s="4"/>
      <c r="Z179" s="4">
        <v>4.4587589414248154E-2</v>
      </c>
      <c r="AA179" s="4">
        <v>0.99479221963553821</v>
      </c>
    </row>
    <row r="181" spans="1:27" x14ac:dyDescent="0.25">
      <c r="A181" s="4" t="s">
        <v>132</v>
      </c>
      <c r="B181" s="4" t="s">
        <v>19</v>
      </c>
      <c r="D181" s="4" t="s">
        <v>6</v>
      </c>
      <c r="F181" s="4">
        <v>60</v>
      </c>
      <c r="H181" s="5" t="s">
        <v>277</v>
      </c>
      <c r="J181" s="4">
        <f t="shared" ref="J181:J244" si="0">LN(0.2)</f>
        <v>-1.6094379124341003</v>
      </c>
      <c r="K181" s="4">
        <f t="shared" ref="K181:K244" si="1">LN(20*0.9)</f>
        <v>2.8903717578961645</v>
      </c>
      <c r="L181" s="4">
        <f t="shared" ref="L181:L244" si="2">LN(9)</f>
        <v>2.1972245773362196</v>
      </c>
      <c r="O181" s="4">
        <v>2</v>
      </c>
      <c r="P181" s="4">
        <v>7</v>
      </c>
      <c r="Q181" s="4">
        <v>0.69299999999999995</v>
      </c>
      <c r="R181" s="4">
        <v>-2.4453279654798203</v>
      </c>
      <c r="S181" s="4">
        <v>0.43594956584065397</v>
      </c>
      <c r="T181" s="4">
        <v>2.2700903770328336</v>
      </c>
      <c r="U181" s="4">
        <v>1.3615279367008941</v>
      </c>
      <c r="V181" s="4">
        <v>23.89411177882512</v>
      </c>
      <c r="W181" s="4">
        <v>2999349732.6615524</v>
      </c>
      <c r="Z181" s="4">
        <v>0.33238658001128141</v>
      </c>
      <c r="AA181" s="4">
        <v>0.85130142248240182</v>
      </c>
    </row>
    <row r="182" spans="1:27" x14ac:dyDescent="0.25">
      <c r="A182" s="4" t="s">
        <v>116</v>
      </c>
      <c r="B182" s="4" t="s">
        <v>15</v>
      </c>
      <c r="C182" s="4" t="s">
        <v>16</v>
      </c>
      <c r="D182" s="4" t="s">
        <v>14</v>
      </c>
      <c r="F182" s="4">
        <v>20</v>
      </c>
      <c r="H182" s="5" t="s">
        <v>277</v>
      </c>
      <c r="J182" s="4">
        <f t="shared" si="0"/>
        <v>-1.6094379124341003</v>
      </c>
      <c r="K182" s="4">
        <f t="shared" si="1"/>
        <v>2.8903717578961645</v>
      </c>
      <c r="L182" s="4">
        <f t="shared" si="2"/>
        <v>2.1972245773362196</v>
      </c>
      <c r="O182" s="4">
        <v>2</v>
      </c>
      <c r="P182" s="4">
        <v>9</v>
      </c>
      <c r="Q182" s="4">
        <v>0.72699999999999998</v>
      </c>
      <c r="R182" s="4">
        <v>-1.727306683702245</v>
      </c>
      <c r="S182" s="4">
        <v>0.74144963115048468</v>
      </c>
      <c r="T182" s="4">
        <v>1.9730752410922708E-9</v>
      </c>
      <c r="U182" s="4">
        <v>1.9822359834231569E-9</v>
      </c>
      <c r="V182" s="4">
        <v>25.652802359397398</v>
      </c>
      <c r="Z182" s="4">
        <v>0.74144963115048468</v>
      </c>
      <c r="AA182" s="4">
        <v>0.82828875626670884</v>
      </c>
    </row>
    <row r="183" spans="1:27" x14ac:dyDescent="0.25">
      <c r="A183" s="4" t="s">
        <v>122</v>
      </c>
      <c r="B183" s="4" t="s">
        <v>17</v>
      </c>
      <c r="C183" s="4" t="s">
        <v>18</v>
      </c>
      <c r="D183" s="4" t="s">
        <v>14</v>
      </c>
      <c r="F183" s="4">
        <v>20</v>
      </c>
      <c r="H183" s="5" t="s">
        <v>277</v>
      </c>
      <c r="J183" s="4">
        <f t="shared" si="0"/>
        <v>-1.6094379124341003</v>
      </c>
      <c r="K183" s="4">
        <f t="shared" si="1"/>
        <v>2.8903717578961645</v>
      </c>
      <c r="L183" s="4">
        <f t="shared" si="2"/>
        <v>2.1972245773362196</v>
      </c>
      <c r="O183" s="4">
        <v>2</v>
      </c>
      <c r="P183" s="4">
        <v>6</v>
      </c>
      <c r="Q183" s="4">
        <v>0.83399999999999996</v>
      </c>
      <c r="R183" s="4">
        <v>-3.0155283908158235</v>
      </c>
      <c r="S183" s="4">
        <v>7.2411268050807442E-2</v>
      </c>
      <c r="T183" s="4">
        <v>53.181906242651529</v>
      </c>
      <c r="U183" s="4">
        <v>65788344298.829124</v>
      </c>
      <c r="V183" s="4">
        <v>2.1947462218778613</v>
      </c>
      <c r="W183" s="4">
        <v>0.66939825222965221</v>
      </c>
      <c r="Z183" s="4">
        <v>0.11313757167275018</v>
      </c>
      <c r="AA183" s="4">
        <v>0.9626626764450783</v>
      </c>
    </row>
    <row r="184" spans="1:27" x14ac:dyDescent="0.25">
      <c r="A184" s="4" t="s">
        <v>123</v>
      </c>
      <c r="B184" s="4" t="s">
        <v>17</v>
      </c>
      <c r="C184" s="4" t="s">
        <v>18</v>
      </c>
      <c r="D184" s="4" t="s">
        <v>14</v>
      </c>
      <c r="F184" s="4">
        <v>20</v>
      </c>
      <c r="H184" s="5" t="s">
        <v>277</v>
      </c>
      <c r="J184" s="4">
        <f t="shared" si="0"/>
        <v>-1.6094379124341003</v>
      </c>
      <c r="K184" s="4">
        <f t="shared" si="1"/>
        <v>2.8903717578961645</v>
      </c>
      <c r="L184" s="4">
        <f t="shared" si="2"/>
        <v>2.1972245773362196</v>
      </c>
      <c r="O184" s="4">
        <v>2</v>
      </c>
      <c r="P184" s="4">
        <v>6</v>
      </c>
      <c r="Q184" s="4">
        <v>0.83399999999999996</v>
      </c>
      <c r="R184" s="4">
        <v>-3.0228746831436299</v>
      </c>
      <c r="S184" s="4">
        <v>8.6482833863565825E-2</v>
      </c>
      <c r="T184" s="4">
        <v>28.888070295019052</v>
      </c>
      <c r="U184" s="4">
        <v>7418075991.1368475</v>
      </c>
      <c r="V184" s="4">
        <v>2.2232783585647646</v>
      </c>
      <c r="W184" s="4">
        <v>0.33474372722916917</v>
      </c>
      <c r="Z184" s="4">
        <v>0.10578038287632999</v>
      </c>
      <c r="AA184" s="4">
        <v>0.96784214484235087</v>
      </c>
    </row>
    <row r="185" spans="1:27" x14ac:dyDescent="0.25">
      <c r="A185" s="4" t="s">
        <v>124</v>
      </c>
      <c r="B185" s="4" t="s">
        <v>17</v>
      </c>
      <c r="C185" s="4" t="s">
        <v>18</v>
      </c>
      <c r="D185" s="4" t="s">
        <v>14</v>
      </c>
      <c r="F185" s="4">
        <v>45</v>
      </c>
      <c r="H185" s="5" t="s">
        <v>277</v>
      </c>
      <c r="J185" s="4">
        <f t="shared" si="0"/>
        <v>-1.6094379124341003</v>
      </c>
      <c r="K185" s="4">
        <f t="shared" si="1"/>
        <v>2.8903717578961645</v>
      </c>
      <c r="L185" s="4">
        <f t="shared" si="2"/>
        <v>2.1972245773362196</v>
      </c>
      <c r="O185" s="4">
        <v>2</v>
      </c>
      <c r="P185" s="4">
        <v>6</v>
      </c>
      <c r="Q185" s="4">
        <v>0.82910000000000006</v>
      </c>
      <c r="R185" s="4">
        <v>-3.2251648277302616</v>
      </c>
      <c r="S185" s="4">
        <v>4.8875922656722852E-2</v>
      </c>
      <c r="T185" s="4">
        <v>27.405703954490882</v>
      </c>
      <c r="U185" s="4">
        <v>4258935104.97089</v>
      </c>
      <c r="V185" s="4">
        <v>2.8537400336825485</v>
      </c>
      <c r="W185" s="4">
        <v>0.28926816970591346</v>
      </c>
      <c r="Z185" s="4">
        <v>6.5728187302951047E-2</v>
      </c>
      <c r="AA185" s="4">
        <v>0.99036957938207093</v>
      </c>
    </row>
    <row r="186" spans="1:27" x14ac:dyDescent="0.25">
      <c r="A186" s="4" t="s">
        <v>125</v>
      </c>
      <c r="B186" s="4" t="s">
        <v>17</v>
      </c>
      <c r="C186" s="4" t="s">
        <v>18</v>
      </c>
      <c r="D186" s="4" t="s">
        <v>14</v>
      </c>
      <c r="F186" s="4">
        <v>45</v>
      </c>
      <c r="H186" s="5" t="s">
        <v>277</v>
      </c>
      <c r="J186" s="4">
        <f t="shared" si="0"/>
        <v>-1.6094379124341003</v>
      </c>
      <c r="K186" s="4">
        <f t="shared" si="1"/>
        <v>2.8903717578961645</v>
      </c>
      <c r="L186" s="4">
        <f t="shared" si="2"/>
        <v>2.1972245773362196</v>
      </c>
      <c r="O186" s="4">
        <v>2</v>
      </c>
      <c r="P186" s="4">
        <v>6</v>
      </c>
      <c r="Q186" s="4">
        <v>0.82910000000000006</v>
      </c>
      <c r="R186" s="4">
        <v>-3.2210551705287851</v>
      </c>
      <c r="S186" s="4">
        <v>3.898340869018347E-2</v>
      </c>
      <c r="T186" s="4">
        <v>110.8080000571053</v>
      </c>
      <c r="U186" s="4">
        <v>21511745610.948967</v>
      </c>
      <c r="V186" s="4">
        <v>2.8248878397752639</v>
      </c>
      <c r="W186" s="4">
        <v>0.29805229378809839</v>
      </c>
      <c r="Z186" s="4">
        <v>6.9240709538252107E-2</v>
      </c>
      <c r="AA186" s="4">
        <v>0.98918813751512846</v>
      </c>
    </row>
    <row r="187" spans="1:27" x14ac:dyDescent="0.25">
      <c r="A187" s="4" t="s">
        <v>126</v>
      </c>
      <c r="B187" s="4" t="s">
        <v>17</v>
      </c>
      <c r="C187" s="4" t="s">
        <v>18</v>
      </c>
      <c r="D187" s="4" t="s">
        <v>14</v>
      </c>
      <c r="F187" s="4">
        <v>50</v>
      </c>
      <c r="H187" s="5" t="s">
        <v>277</v>
      </c>
      <c r="J187" s="4">
        <f t="shared" si="0"/>
        <v>-1.6094379124341003</v>
      </c>
      <c r="K187" s="4">
        <f t="shared" si="1"/>
        <v>2.8903717578961645</v>
      </c>
      <c r="L187" s="4">
        <f t="shared" si="2"/>
        <v>2.1972245773362196</v>
      </c>
      <c r="O187" s="4">
        <v>2</v>
      </c>
      <c r="P187" s="4">
        <v>6</v>
      </c>
      <c r="Q187" s="4">
        <v>0.82709999999999995</v>
      </c>
      <c r="R187" s="4">
        <v>-3.3414264655137829</v>
      </c>
      <c r="S187" s="4">
        <v>5.5518276705529945E-2</v>
      </c>
      <c r="T187" s="4">
        <v>42.954044022097492</v>
      </c>
      <c r="U187" s="4">
        <v>6532397276.8204756</v>
      </c>
      <c r="V187" s="4">
        <v>2.481584764501692</v>
      </c>
      <c r="W187" s="4">
        <v>0.29912367525367139</v>
      </c>
      <c r="Z187" s="4">
        <v>8.8908485704796716E-2</v>
      </c>
      <c r="AA187" s="4">
        <v>0.97992637979733987</v>
      </c>
    </row>
    <row r="188" spans="1:27" x14ac:dyDescent="0.25">
      <c r="A188" s="4" t="s">
        <v>127</v>
      </c>
      <c r="B188" s="4" t="s">
        <v>17</v>
      </c>
      <c r="C188" s="4" t="s">
        <v>18</v>
      </c>
      <c r="D188" s="4" t="s">
        <v>14</v>
      </c>
      <c r="F188" s="4">
        <v>50</v>
      </c>
      <c r="H188" s="5" t="s">
        <v>277</v>
      </c>
      <c r="J188" s="4">
        <f t="shared" si="0"/>
        <v>-1.6094379124341003</v>
      </c>
      <c r="K188" s="4">
        <f t="shared" si="1"/>
        <v>2.8903717578961645</v>
      </c>
      <c r="L188" s="4">
        <f t="shared" si="2"/>
        <v>2.1972245773362196</v>
      </c>
      <c r="O188" s="4">
        <v>2</v>
      </c>
      <c r="P188" s="4">
        <v>6</v>
      </c>
      <c r="Q188" s="4">
        <v>0.82709999999999995</v>
      </c>
      <c r="R188" s="4">
        <v>-3.3328383579773608</v>
      </c>
      <c r="S188" s="4">
        <v>5.2599583328355626E-2</v>
      </c>
      <c r="T188" s="4">
        <v>47.710665225627437</v>
      </c>
      <c r="U188" s="4">
        <v>23905310667.724365</v>
      </c>
      <c r="V188" s="4">
        <v>2.4464495866577911</v>
      </c>
      <c r="W188" s="4">
        <v>0.66411862422241386</v>
      </c>
      <c r="Z188" s="4">
        <v>8.9656305253706256E-2</v>
      </c>
      <c r="AA188" s="4">
        <v>0.97929567743078905</v>
      </c>
    </row>
    <row r="189" spans="1:27" x14ac:dyDescent="0.25">
      <c r="A189" s="4" t="s">
        <v>142</v>
      </c>
      <c r="B189" s="4" t="s">
        <v>4</v>
      </c>
      <c r="C189" s="4" t="s">
        <v>11</v>
      </c>
      <c r="D189" s="4" t="s">
        <v>6</v>
      </c>
      <c r="F189" s="4">
        <v>60</v>
      </c>
      <c r="H189" s="5" t="s">
        <v>277</v>
      </c>
      <c r="J189" s="4">
        <f t="shared" si="0"/>
        <v>-1.6094379124341003</v>
      </c>
      <c r="K189" s="4">
        <f t="shared" si="1"/>
        <v>2.8903717578961645</v>
      </c>
      <c r="L189" s="4">
        <f t="shared" si="2"/>
        <v>2.1972245773362196</v>
      </c>
      <c r="O189" s="4">
        <v>2</v>
      </c>
      <c r="P189" s="4">
        <v>6</v>
      </c>
      <c r="Q189" s="4">
        <v>0.50900000000000012</v>
      </c>
      <c r="R189" s="4">
        <v>-2.7278312194786141</v>
      </c>
      <c r="S189" s="4">
        <v>0.96132356191286483</v>
      </c>
      <c r="T189" s="4">
        <v>7.793859482284664E-8</v>
      </c>
      <c r="U189" s="4">
        <v>1.3439559475078753</v>
      </c>
      <c r="V189" s="4">
        <v>5.1599453984711081</v>
      </c>
      <c r="W189" s="4">
        <v>29.022227668070581</v>
      </c>
      <c r="Z189" s="4">
        <v>0.16882764454808763</v>
      </c>
      <c r="AA189" s="4">
        <v>0.96341929218663613</v>
      </c>
    </row>
    <row r="190" spans="1:27" x14ac:dyDescent="0.25">
      <c r="A190" s="4" t="s">
        <v>153</v>
      </c>
      <c r="B190" s="4" t="s">
        <v>28</v>
      </c>
      <c r="D190" s="4" t="s">
        <v>29</v>
      </c>
      <c r="F190" s="4">
        <v>0</v>
      </c>
      <c r="H190" s="5" t="s">
        <v>277</v>
      </c>
      <c r="J190" s="4">
        <f t="shared" si="0"/>
        <v>-1.6094379124341003</v>
      </c>
      <c r="K190" s="4">
        <f t="shared" si="1"/>
        <v>2.8903717578961645</v>
      </c>
      <c r="L190" s="4">
        <f t="shared" si="2"/>
        <v>2.1972245773362196</v>
      </c>
      <c r="O190" s="4">
        <v>2</v>
      </c>
      <c r="P190" s="4">
        <v>9</v>
      </c>
      <c r="Q190" s="4">
        <v>0.65</v>
      </c>
      <c r="R190" s="4">
        <v>-2.5714815169313301</v>
      </c>
      <c r="S190" s="4">
        <v>0.76285786087676399</v>
      </c>
      <c r="T190" s="4">
        <v>3.9018842036332627E-8</v>
      </c>
      <c r="U190" s="4">
        <v>0.99680630321604791</v>
      </c>
      <c r="V190" s="4">
        <v>1.4674605298573076</v>
      </c>
      <c r="W190" s="4">
        <v>0.95623319078815483</v>
      </c>
      <c r="Z190" s="4">
        <v>0.14556723206523087</v>
      </c>
      <c r="AA190" s="4">
        <v>0.96748302558513211</v>
      </c>
    </row>
    <row r="191" spans="1:27" x14ac:dyDescent="0.25">
      <c r="A191" s="4" t="s">
        <v>155</v>
      </c>
      <c r="B191" s="4" t="s">
        <v>28</v>
      </c>
      <c r="D191" s="4" t="s">
        <v>29</v>
      </c>
      <c r="F191" s="4">
        <v>10</v>
      </c>
      <c r="H191" s="5" t="s">
        <v>277</v>
      </c>
      <c r="J191" s="4">
        <f t="shared" si="0"/>
        <v>-1.6094379124341003</v>
      </c>
      <c r="K191" s="4">
        <f t="shared" si="1"/>
        <v>2.8903717578961645</v>
      </c>
      <c r="L191" s="4">
        <f t="shared" si="2"/>
        <v>2.1972245773362196</v>
      </c>
      <c r="O191" s="4">
        <v>2</v>
      </c>
      <c r="P191" s="4">
        <v>9</v>
      </c>
      <c r="Q191" s="4">
        <v>0.63250000000000006</v>
      </c>
      <c r="R191" s="4">
        <v>-1.9609232781982253</v>
      </c>
      <c r="S191" s="4">
        <v>0.65293883535103925</v>
      </c>
      <c r="T191" s="4">
        <v>2.6282212425323574E-7</v>
      </c>
      <c r="U191" s="4">
        <v>0.78094074588986317</v>
      </c>
      <c r="V191" s="4">
        <v>0.48734328196895144</v>
      </c>
      <c r="W191" s="4">
        <v>0.68156243244673975</v>
      </c>
      <c r="Z191" s="4">
        <v>5.9249798650633116E-2</v>
      </c>
      <c r="AA191" s="4">
        <v>0.9892534315672078</v>
      </c>
    </row>
    <row r="192" spans="1:27" x14ac:dyDescent="0.25">
      <c r="A192" s="4" t="s">
        <v>160</v>
      </c>
      <c r="B192" s="4" t="s">
        <v>28</v>
      </c>
      <c r="D192" s="4" t="s">
        <v>29</v>
      </c>
      <c r="F192" s="4">
        <v>35</v>
      </c>
      <c r="H192" s="5" t="s">
        <v>277</v>
      </c>
      <c r="J192" s="4">
        <f t="shared" si="0"/>
        <v>-1.6094379124341003</v>
      </c>
      <c r="K192" s="4">
        <f t="shared" si="1"/>
        <v>2.8903717578961645</v>
      </c>
      <c r="L192" s="4">
        <f t="shared" si="2"/>
        <v>2.1972245773362196</v>
      </c>
      <c r="O192" s="4">
        <v>2</v>
      </c>
      <c r="P192" s="4">
        <v>9</v>
      </c>
      <c r="Q192" s="4">
        <v>0.64440000000000008</v>
      </c>
      <c r="R192" s="4">
        <v>-2.1086632022215301</v>
      </c>
      <c r="S192" s="4">
        <v>1.0385826431436938</v>
      </c>
      <c r="T192" s="4">
        <v>1.4312998721002202E-7</v>
      </c>
      <c r="U192" s="4">
        <v>1.2587047433940102</v>
      </c>
      <c r="V192" s="4">
        <v>0.6388708969683371</v>
      </c>
      <c r="W192" s="4">
        <v>1.094470074738725</v>
      </c>
      <c r="Z192" s="4">
        <v>0.11256185236785884</v>
      </c>
      <c r="AA192" s="4">
        <v>0.96823882654248095</v>
      </c>
    </row>
    <row r="193" spans="1:27" x14ac:dyDescent="0.25">
      <c r="A193" s="4" t="s">
        <v>194</v>
      </c>
      <c r="B193" s="4" t="s">
        <v>28</v>
      </c>
      <c r="D193" s="4" t="s">
        <v>6</v>
      </c>
      <c r="E193" s="4" t="s">
        <v>54</v>
      </c>
      <c r="F193" s="4">
        <v>50</v>
      </c>
      <c r="H193" s="5" t="s">
        <v>277</v>
      </c>
      <c r="J193" s="4">
        <f t="shared" si="0"/>
        <v>-1.6094379124341003</v>
      </c>
      <c r="K193" s="4">
        <f t="shared" si="1"/>
        <v>2.8903717578961645</v>
      </c>
      <c r="L193" s="4">
        <f t="shared" si="2"/>
        <v>2.1972245773362196</v>
      </c>
      <c r="O193" s="4">
        <v>2</v>
      </c>
      <c r="P193" s="4">
        <v>4</v>
      </c>
      <c r="Q193" s="4">
        <v>0.63100000000000001</v>
      </c>
      <c r="R193" s="4">
        <v>-1.8446289052964577</v>
      </c>
      <c r="S193" s="4">
        <v>1.5278265229553842</v>
      </c>
      <c r="T193" s="4">
        <v>0.49100195415293385</v>
      </c>
      <c r="U193" s="4">
        <v>1.7554840999391936</v>
      </c>
      <c r="V193" s="4">
        <v>3.8321784328709162E-7</v>
      </c>
      <c r="W193" s="4">
        <v>2.5250496937513325</v>
      </c>
      <c r="Z193" s="4">
        <v>0.14169686434631962</v>
      </c>
      <c r="AA193" s="4">
        <v>0.966211665554088</v>
      </c>
    </row>
    <row r="194" spans="1:27" x14ac:dyDescent="0.25">
      <c r="A194" s="4" t="s">
        <v>199</v>
      </c>
      <c r="B194" s="4" t="s">
        <v>28</v>
      </c>
      <c r="D194" s="4" t="s">
        <v>6</v>
      </c>
      <c r="E194" s="4" t="s">
        <v>53</v>
      </c>
      <c r="F194" s="4">
        <v>50</v>
      </c>
      <c r="H194" s="5" t="s">
        <v>277</v>
      </c>
      <c r="J194" s="4">
        <f t="shared" si="0"/>
        <v>-1.6094379124341003</v>
      </c>
      <c r="K194" s="4">
        <f t="shared" si="1"/>
        <v>2.8903717578961645</v>
      </c>
      <c r="L194" s="4">
        <f t="shared" si="2"/>
        <v>2.1972245773362196</v>
      </c>
      <c r="O194" s="4">
        <v>2</v>
      </c>
      <c r="P194" s="4">
        <v>4</v>
      </c>
      <c r="Q194" s="4">
        <v>0.63100000000000001</v>
      </c>
      <c r="R194" s="4">
        <v>-1.7026267151289498</v>
      </c>
      <c r="S194" s="4">
        <v>3.3321720860420703</v>
      </c>
      <c r="T194" s="4">
        <v>5.6633342904924944E-2</v>
      </c>
      <c r="U194" s="4">
        <v>3.5940929827391406</v>
      </c>
      <c r="V194" s="4">
        <v>3.3116119991668978E-7</v>
      </c>
      <c r="W194" s="4">
        <v>4.2737188034695848</v>
      </c>
      <c r="Z194" s="4">
        <v>0.18419139269963811</v>
      </c>
      <c r="AA194" s="4">
        <v>0.95471109093875739</v>
      </c>
    </row>
    <row r="196" spans="1:27" x14ac:dyDescent="0.25">
      <c r="A196" s="4" t="s">
        <v>140</v>
      </c>
      <c r="B196" s="4" t="s">
        <v>4</v>
      </c>
      <c r="C196" s="4" t="s">
        <v>11</v>
      </c>
      <c r="D196" s="4" t="s">
        <v>6</v>
      </c>
      <c r="F196" s="4">
        <v>20</v>
      </c>
      <c r="H196" s="5" t="s">
        <v>277</v>
      </c>
      <c r="J196" s="4">
        <f t="shared" si="0"/>
        <v>-1.6094379124341003</v>
      </c>
      <c r="K196" s="4">
        <f t="shared" si="1"/>
        <v>2.8903717578961645</v>
      </c>
      <c r="L196" s="4">
        <f t="shared" si="2"/>
        <v>2.1972245773362196</v>
      </c>
      <c r="O196" s="4">
        <v>1</v>
      </c>
      <c r="P196" s="4">
        <v>5</v>
      </c>
      <c r="Q196" s="4">
        <v>0.42399999999999999</v>
      </c>
      <c r="R196" s="4">
        <v>0.10142127125288725</v>
      </c>
      <c r="S196" s="4">
        <v>5.8949896380388778E-2</v>
      </c>
      <c r="T196" s="4">
        <v>1.4334967225082877</v>
      </c>
      <c r="U196" s="4">
        <v>1.0527778320557573</v>
      </c>
      <c r="V196" s="4">
        <v>0.96869899409969373</v>
      </c>
      <c r="W196" s="4">
        <v>0.1314467491937219</v>
      </c>
      <c r="Z196" s="4">
        <v>6.8651049697939337E-2</v>
      </c>
      <c r="AA196" s="4">
        <v>0.98949224344264974</v>
      </c>
    </row>
    <row r="197" spans="1:27" x14ac:dyDescent="0.25">
      <c r="A197" s="4" t="s">
        <v>97</v>
      </c>
      <c r="B197" s="4" t="s">
        <v>10</v>
      </c>
      <c r="C197" s="4" t="s">
        <v>11</v>
      </c>
      <c r="D197" s="4" t="s">
        <v>6</v>
      </c>
      <c r="F197" s="4">
        <v>40</v>
      </c>
      <c r="H197" s="5" t="s">
        <v>277</v>
      </c>
      <c r="J197" s="4">
        <f t="shared" si="0"/>
        <v>-1.6094379124341003</v>
      </c>
      <c r="K197" s="4">
        <f t="shared" si="1"/>
        <v>2.8903717578961645</v>
      </c>
      <c r="L197" s="4">
        <f t="shared" si="2"/>
        <v>2.1972245773362196</v>
      </c>
      <c r="O197" s="4">
        <v>1</v>
      </c>
      <c r="P197" s="4">
        <v>6</v>
      </c>
      <c r="Q197" s="4">
        <v>0.47300000000000003</v>
      </c>
      <c r="R197" s="4">
        <v>0.1302722238292999</v>
      </c>
      <c r="S197" s="4">
        <v>3.0128339861609912E-2</v>
      </c>
      <c r="T197" s="4">
        <v>1.0720941690634203</v>
      </c>
      <c r="U197" s="4">
        <v>0.30347393323937516</v>
      </c>
      <c r="V197" s="4">
        <v>1.0193442395792607</v>
      </c>
      <c r="W197" s="4">
        <v>4.1494550780772715E-2</v>
      </c>
      <c r="Z197" s="4">
        <v>3.8505228357358541E-2</v>
      </c>
      <c r="AA197" s="4">
        <v>0.99782256953110593</v>
      </c>
    </row>
    <row r="198" spans="1:27" x14ac:dyDescent="0.25">
      <c r="A198" s="4" t="s">
        <v>135</v>
      </c>
      <c r="B198" s="4" t="s">
        <v>21</v>
      </c>
      <c r="C198" s="4" t="s">
        <v>22</v>
      </c>
      <c r="D198" s="4" t="s">
        <v>6</v>
      </c>
      <c r="F198" s="4">
        <v>30</v>
      </c>
      <c r="H198" s="5" t="s">
        <v>277</v>
      </c>
      <c r="J198" s="4">
        <f t="shared" si="0"/>
        <v>-1.6094379124341003</v>
      </c>
      <c r="K198" s="4">
        <f t="shared" si="1"/>
        <v>2.8903717578961645</v>
      </c>
      <c r="L198" s="4">
        <f t="shared" si="2"/>
        <v>2.1972245773362196</v>
      </c>
      <c r="O198" s="4">
        <v>2</v>
      </c>
      <c r="P198" s="4">
        <v>6</v>
      </c>
      <c r="Q198" s="4">
        <v>0.25900000000000001</v>
      </c>
      <c r="R198" s="4">
        <v>10.811795759478626</v>
      </c>
      <c r="S198" s="4">
        <v>158972.97906170494</v>
      </c>
      <c r="T198" s="4">
        <v>1.9598342934013268E-3</v>
      </c>
      <c r="U198" s="4">
        <v>28.789079952716978</v>
      </c>
      <c r="V198" s="4">
        <v>1.0189471491383397</v>
      </c>
      <c r="W198" s="4">
        <v>14.596536433539438</v>
      </c>
      <c r="Z198" s="4">
        <v>7.952046812361814E-2</v>
      </c>
      <c r="AA198" s="4">
        <v>0.99083450926793193</v>
      </c>
    </row>
    <row r="199" spans="1:27" x14ac:dyDescent="0.25">
      <c r="A199" s="4" t="s">
        <v>136</v>
      </c>
      <c r="B199" s="4" t="s">
        <v>21</v>
      </c>
      <c r="C199" s="4" t="s">
        <v>22</v>
      </c>
      <c r="D199" s="4" t="s">
        <v>6</v>
      </c>
      <c r="F199" s="4">
        <v>40</v>
      </c>
      <c r="H199" s="5" t="s">
        <v>277</v>
      </c>
      <c r="J199" s="4">
        <f t="shared" si="0"/>
        <v>-1.6094379124341003</v>
      </c>
      <c r="K199" s="4">
        <f t="shared" si="1"/>
        <v>2.8903717578961645</v>
      </c>
      <c r="L199" s="4">
        <f t="shared" si="2"/>
        <v>2.1972245773362196</v>
      </c>
      <c r="O199" s="4">
        <v>2</v>
      </c>
      <c r="P199" s="4">
        <v>6</v>
      </c>
      <c r="Q199" s="4">
        <v>0.23599999999999999</v>
      </c>
      <c r="R199" s="4">
        <v>8.0552195386566137</v>
      </c>
      <c r="S199" s="4">
        <v>181039.89476343605</v>
      </c>
      <c r="T199" s="4">
        <v>2.9190446801329061E-3</v>
      </c>
      <c r="U199" s="4">
        <v>65.511175650132259</v>
      </c>
      <c r="V199" s="4">
        <v>1.0852564103699358</v>
      </c>
      <c r="W199" s="4">
        <v>35.368041917505089</v>
      </c>
      <c r="Z199" s="4">
        <v>0.12447227160490512</v>
      </c>
      <c r="AA199" s="4">
        <v>0.9743147342893943</v>
      </c>
    </row>
    <row r="200" spans="1:27" x14ac:dyDescent="0.25">
      <c r="A200" s="4" t="s">
        <v>134</v>
      </c>
      <c r="B200" s="4" t="s">
        <v>21</v>
      </c>
      <c r="C200" s="4" t="s">
        <v>22</v>
      </c>
      <c r="D200" s="4" t="s">
        <v>6</v>
      </c>
      <c r="F200" s="4">
        <v>20</v>
      </c>
      <c r="H200" s="5" t="s">
        <v>277</v>
      </c>
      <c r="J200" s="4">
        <f t="shared" si="0"/>
        <v>-1.6094379124341003</v>
      </c>
      <c r="K200" s="4">
        <f t="shared" si="1"/>
        <v>2.8903717578961645</v>
      </c>
      <c r="L200" s="4">
        <f t="shared" si="2"/>
        <v>2.1972245773362196</v>
      </c>
      <c r="O200" s="4">
        <v>2</v>
      </c>
      <c r="P200" s="4">
        <v>6</v>
      </c>
      <c r="Q200" s="4">
        <v>0.22899999999999998</v>
      </c>
      <c r="R200" s="4">
        <v>15.406358849016652</v>
      </c>
      <c r="S200" s="4">
        <v>414490.0789794611</v>
      </c>
      <c r="T200" s="4">
        <v>8.5606617782796341E-3</v>
      </c>
      <c r="U200" s="4">
        <v>229.34738412092116</v>
      </c>
      <c r="V200" s="4">
        <v>0.831998877552236</v>
      </c>
      <c r="W200" s="4">
        <v>94.918132749189894</v>
      </c>
      <c r="Z200" s="4">
        <v>0.14924168582872374</v>
      </c>
      <c r="AA200" s="4">
        <v>0.90443656694996311</v>
      </c>
    </row>
    <row r="201" spans="1:27" x14ac:dyDescent="0.25">
      <c r="A201" s="4" t="s">
        <v>138</v>
      </c>
      <c r="B201" s="4" t="s">
        <v>21</v>
      </c>
      <c r="C201" s="4" t="s">
        <v>23</v>
      </c>
      <c r="D201" s="4" t="s">
        <v>6</v>
      </c>
      <c r="F201" s="4">
        <v>30</v>
      </c>
      <c r="H201" s="5" t="s">
        <v>277</v>
      </c>
      <c r="J201" s="4">
        <f t="shared" si="0"/>
        <v>-1.6094379124341003</v>
      </c>
      <c r="K201" s="4">
        <f t="shared" si="1"/>
        <v>2.8903717578961645</v>
      </c>
      <c r="L201" s="4">
        <f t="shared" si="2"/>
        <v>2.1972245773362196</v>
      </c>
      <c r="O201" s="4">
        <v>2</v>
      </c>
      <c r="P201" s="4">
        <v>6</v>
      </c>
      <c r="Q201" s="4">
        <v>0.20900000000000007</v>
      </c>
      <c r="R201" s="4">
        <v>7.1135329655621913</v>
      </c>
      <c r="S201" s="4">
        <v>42446.515853664234</v>
      </c>
      <c r="T201" s="4">
        <v>6.2005656369078597E-3</v>
      </c>
      <c r="U201" s="4">
        <v>36.888622027212527</v>
      </c>
      <c r="V201" s="4">
        <v>0.9329439679956455</v>
      </c>
      <c r="W201" s="4">
        <v>17.031788252158897</v>
      </c>
      <c r="Z201" s="4">
        <v>8.6526744159078808E-2</v>
      </c>
      <c r="AA201" s="4">
        <v>0.97674789424514308</v>
      </c>
    </row>
    <row r="202" spans="1:27" x14ac:dyDescent="0.25">
      <c r="A202" s="4" t="s">
        <v>139</v>
      </c>
      <c r="B202" s="4" t="s">
        <v>21</v>
      </c>
      <c r="C202" s="4" t="s">
        <v>23</v>
      </c>
      <c r="D202" s="4" t="s">
        <v>6</v>
      </c>
      <c r="F202" s="4">
        <v>40</v>
      </c>
      <c r="H202" s="5" t="s">
        <v>277</v>
      </c>
      <c r="J202" s="4">
        <f t="shared" si="0"/>
        <v>-1.6094379124341003</v>
      </c>
      <c r="K202" s="4">
        <f t="shared" si="1"/>
        <v>2.8903717578961645</v>
      </c>
      <c r="L202" s="4">
        <f t="shared" si="2"/>
        <v>2.1972245773362196</v>
      </c>
      <c r="O202" s="4">
        <v>2</v>
      </c>
      <c r="P202" s="4">
        <v>6</v>
      </c>
      <c r="Q202" s="4">
        <v>0.15200000000000002</v>
      </c>
      <c r="R202" s="4">
        <v>4.6473576259561291</v>
      </c>
      <c r="S202" s="4">
        <v>94360.248860208987</v>
      </c>
      <c r="T202" s="4">
        <v>1.2493757125388185E-2</v>
      </c>
      <c r="U202" s="4">
        <v>252.12810469600166</v>
      </c>
      <c r="V202" s="4">
        <v>0.83361722850130782</v>
      </c>
      <c r="W202" s="4">
        <v>104.42310653491268</v>
      </c>
      <c r="Z202" s="4">
        <v>8.9697548410643008E-2</v>
      </c>
      <c r="AA202" s="4">
        <v>0.92350644944328419</v>
      </c>
    </row>
    <row r="203" spans="1:27" s="7" customFormat="1" x14ac:dyDescent="0.25">
      <c r="A203" s="7" t="s">
        <v>137</v>
      </c>
      <c r="B203" s="7" t="s">
        <v>21</v>
      </c>
      <c r="C203" s="7" t="s">
        <v>23</v>
      </c>
      <c r="D203" s="7" t="s">
        <v>6</v>
      </c>
      <c r="F203" s="7">
        <v>20</v>
      </c>
      <c r="H203" s="5" t="s">
        <v>277</v>
      </c>
      <c r="J203" s="4">
        <f t="shared" si="0"/>
        <v>-1.6094379124341003</v>
      </c>
      <c r="K203" s="4">
        <f t="shared" si="1"/>
        <v>2.8903717578961645</v>
      </c>
      <c r="L203" s="4">
        <f t="shared" si="2"/>
        <v>2.1972245773362196</v>
      </c>
      <c r="O203" s="7">
        <v>1</v>
      </c>
      <c r="P203" s="7">
        <v>6</v>
      </c>
      <c r="Q203" s="7">
        <v>0.14400000000000002</v>
      </c>
      <c r="R203" s="7">
        <v>0.11637645823425313</v>
      </c>
      <c r="S203" s="7">
        <v>0.12320289966402594</v>
      </c>
      <c r="T203" s="7">
        <v>0.82919580837189144</v>
      </c>
      <c r="U203" s="7">
        <v>1.5143236812875651</v>
      </c>
      <c r="V203" s="7">
        <v>1.099196405014319</v>
      </c>
      <c r="W203" s="7">
        <v>0.13658389281550573</v>
      </c>
      <c r="Z203" s="7">
        <v>4.15204400156233E-2</v>
      </c>
      <c r="AA203" s="7">
        <v>0.98485639670074754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Original GAB on ln(Mc)</vt:lpstr>
      <vt:lpstr>Reparameterized GAB on ln(Mc)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Jozsef Baranyi</dc:creator>
  <cp:lastModifiedBy>Constantine-Richard Stefanou</cp:lastModifiedBy>
  <dcterms:created xsi:type="dcterms:W3CDTF">2025-06-26T09:43:16Z</dcterms:created>
  <dcterms:modified xsi:type="dcterms:W3CDTF">2026-07-13T07:39:57Z</dcterms:modified>
</cp:coreProperties>
</file>